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  <sheet xmlns:r="http://schemas.openxmlformats.org/officeDocument/2006/relationships" name="Clientes" sheetId="2" state="visible" r:id="rId2"/>
    <sheet xmlns:r="http://schemas.openxmlformats.org/officeDocument/2006/relationships" name="Vendas" sheetId="3" state="visible" r:id="rId3"/>
    <sheet xmlns:r="http://schemas.openxmlformats.org/officeDocument/2006/relationships" name="Fornecedores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2F5496"/>
      <sz val="14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4" fillId="3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6" customWidth="1" min="3" max="3"/>
    <col width="14" customWidth="1" min="4" max="4"/>
    <col width="13" customWidth="1" min="5" max="5"/>
    <col width="13" customWidth="1" min="6" max="6"/>
    <col width="8" customWidth="1" min="7" max="7"/>
    <col width="14" customWidth="1" min="8" max="8"/>
    <col width="12" customWidth="1" min="9" max="9"/>
    <col width="14" customWidth="1" min="10" max="10"/>
  </cols>
  <sheetData>
    <row r="1" ht="22" customHeight="1">
      <c r="A1" s="1" t="inlineStr">
        <is>
          <t>ID</t>
        </is>
      </c>
      <c r="B1" s="1" t="inlineStr">
        <is>
          <t>Nome</t>
        </is>
      </c>
      <c r="C1" s="1" t="inlineStr">
        <is>
          <t>Categoria</t>
        </is>
      </c>
      <c r="D1" s="1" t="inlineStr">
        <is>
          <t>Laboratorio</t>
        </is>
      </c>
      <c r="E1" s="1" t="inlineStr">
        <is>
          <t>Preco_Compra</t>
        </is>
      </c>
      <c r="F1" s="1" t="inlineStr">
        <is>
          <t>Preco_Venda</t>
        </is>
      </c>
      <c r="G1" s="1" t="inlineStr">
        <is>
          <t>Stock</t>
        </is>
      </c>
      <c r="H1" s="1" t="inlineStr">
        <is>
          <t>Stock_Minimo</t>
        </is>
      </c>
      <c r="I1" s="1" t="inlineStr">
        <is>
          <t>Validade</t>
        </is>
      </c>
      <c r="J1" s="1" t="inlineStr">
        <is>
          <t>Requer_Receita</t>
        </is>
      </c>
    </row>
    <row r="2">
      <c r="A2" s="2" t="n">
        <v>1</v>
      </c>
      <c r="B2" s="2" t="inlineStr">
        <is>
          <t>Paracetamol 500mg</t>
        </is>
      </c>
      <c r="C2" s="2" t="inlineStr">
        <is>
          <t>Analgésico</t>
        </is>
      </c>
      <c r="D2" s="2" t="inlineStr">
        <is>
          <t>Generis</t>
        </is>
      </c>
      <c r="E2" s="2" t="n">
        <v>0.8</v>
      </c>
      <c r="F2" s="2" t="n">
        <v>2.5</v>
      </c>
      <c r="G2" s="2" t="n">
        <v>120</v>
      </c>
      <c r="H2" s="2" t="n">
        <v>30</v>
      </c>
      <c r="I2" s="2" t="inlineStr">
        <is>
          <t>2026-08-01</t>
        </is>
      </c>
      <c r="J2" s="2" t="inlineStr">
        <is>
          <t>Não</t>
        </is>
      </c>
    </row>
    <row r="3">
      <c r="A3" s="3" t="n">
        <v>2</v>
      </c>
      <c r="B3" s="3" t="inlineStr">
        <is>
          <t>Ibuprofeno 400mg</t>
        </is>
      </c>
      <c r="C3" s="3" t="inlineStr">
        <is>
          <t>Anti-inflamatório</t>
        </is>
      </c>
      <c r="D3" s="3" t="inlineStr">
        <is>
          <t>Alter</t>
        </is>
      </c>
      <c r="E3" s="3" t="n">
        <v>1.2</v>
      </c>
      <c r="F3" s="3" t="n">
        <v>3.8</v>
      </c>
      <c r="G3" s="3" t="n">
        <v>85</v>
      </c>
      <c r="H3" s="3" t="n">
        <v>20</v>
      </c>
      <c r="I3" s="3" t="inlineStr">
        <is>
          <t>2026-06-15</t>
        </is>
      </c>
      <c r="J3" s="3" t="inlineStr">
        <is>
          <t>Não</t>
        </is>
      </c>
    </row>
    <row r="4">
      <c r="A4" s="2" t="n">
        <v>3</v>
      </c>
      <c r="B4" s="2" t="inlineStr">
        <is>
          <t>Amoxicilina 500mg</t>
        </is>
      </c>
      <c r="C4" s="2" t="inlineStr">
        <is>
          <t>Antibiótico</t>
        </is>
      </c>
      <c r="D4" s="2" t="inlineStr">
        <is>
          <t>Bluepharma</t>
        </is>
      </c>
      <c r="E4" s="2" t="n">
        <v>2.5</v>
      </c>
      <c r="F4" s="2" t="n">
        <v>7.9</v>
      </c>
      <c r="G4" s="2" t="n">
        <v>45</v>
      </c>
      <c r="H4" s="2" t="n">
        <v>15</v>
      </c>
      <c r="I4" s="2" t="inlineStr">
        <is>
          <t>2025-12-01</t>
        </is>
      </c>
      <c r="J4" s="2" t="inlineStr">
        <is>
          <t>Sim</t>
        </is>
      </c>
    </row>
    <row r="5">
      <c r="A5" s="3" t="n">
        <v>4</v>
      </c>
      <c r="B5" s="3" t="inlineStr">
        <is>
          <t>Omeprazol 20mg</t>
        </is>
      </c>
      <c r="C5" s="3" t="inlineStr">
        <is>
          <t>Gastrointestinal</t>
        </is>
      </c>
      <c r="D5" s="3" t="inlineStr">
        <is>
          <t>Labesfal</t>
        </is>
      </c>
      <c r="E5" s="3" t="n">
        <v>1.5</v>
      </c>
      <c r="F5" s="3" t="n">
        <v>4.2</v>
      </c>
      <c r="G5" s="3" t="n">
        <v>60</v>
      </c>
      <c r="H5" s="3" t="n">
        <v>20</v>
      </c>
      <c r="I5" s="3" t="inlineStr">
        <is>
          <t>2027-01-10</t>
        </is>
      </c>
      <c r="J5" s="3" t="inlineStr">
        <is>
          <t>Não</t>
        </is>
      </c>
    </row>
    <row r="6">
      <c r="A6" s="2" t="n">
        <v>5</v>
      </c>
      <c r="B6" s="2" t="inlineStr">
        <is>
          <t>Loratadina 10mg</t>
        </is>
      </c>
      <c r="C6" s="2" t="inlineStr">
        <is>
          <t>Antialérgico</t>
        </is>
      </c>
      <c r="D6" s="2" t="inlineStr">
        <is>
          <t>Generis</t>
        </is>
      </c>
      <c r="E6" s="2" t="n">
        <v>1</v>
      </c>
      <c r="F6" s="2" t="n">
        <v>3.1</v>
      </c>
      <c r="G6" s="2" t="n">
        <v>95</v>
      </c>
      <c r="H6" s="2" t="n">
        <v>25</v>
      </c>
      <c r="I6" s="2" t="inlineStr">
        <is>
          <t>2026-09-20</t>
        </is>
      </c>
      <c r="J6" s="2" t="inlineStr">
        <is>
          <t>Não</t>
        </is>
      </c>
    </row>
    <row r="7">
      <c r="A7" s="3" t="n">
        <v>6</v>
      </c>
      <c r="B7" s="3" t="inlineStr">
        <is>
          <t>Vitamina C 1000mg</t>
        </is>
      </c>
      <c r="C7" s="3" t="inlineStr">
        <is>
          <t>Suplemento</t>
        </is>
      </c>
      <c r="D7" s="3" t="inlineStr">
        <is>
          <t>Bayer</t>
        </is>
      </c>
      <c r="E7" s="3" t="n">
        <v>2.8</v>
      </c>
      <c r="F7" s="3" t="n">
        <v>6.9</v>
      </c>
      <c r="G7" s="3" t="n">
        <v>200</v>
      </c>
      <c r="H7" s="3" t="n">
        <v>50</v>
      </c>
      <c r="I7" s="3" t="inlineStr">
        <is>
          <t>2027-03-01</t>
        </is>
      </c>
      <c r="J7" s="3" t="inlineStr">
        <is>
          <t>Não</t>
        </is>
      </c>
    </row>
    <row r="8">
      <c r="A8" s="2" t="n">
        <v>7</v>
      </c>
      <c r="B8" s="2" t="inlineStr">
        <is>
          <t>Atorvastatina 20mg</t>
        </is>
      </c>
      <c r="C8" s="2" t="inlineStr">
        <is>
          <t>Cardiovascular</t>
        </is>
      </c>
      <c r="D8" s="2" t="inlineStr">
        <is>
          <t>Pfizer</t>
        </is>
      </c>
      <c r="E8" s="2" t="n">
        <v>3.2</v>
      </c>
      <c r="F8" s="2" t="n">
        <v>9.5</v>
      </c>
      <c r="G8" s="2" t="n">
        <v>40</v>
      </c>
      <c r="H8" s="2" t="n">
        <v>15</v>
      </c>
      <c r="I8" s="2" t="inlineStr">
        <is>
          <t>2026-11-30</t>
        </is>
      </c>
      <c r="J8" s="2" t="inlineStr">
        <is>
          <t>Sim</t>
        </is>
      </c>
    </row>
    <row r="9">
      <c r="A9" s="3" t="n">
        <v>8</v>
      </c>
      <c r="B9" s="3" t="inlineStr">
        <is>
          <t>Metformina 850mg</t>
        </is>
      </c>
      <c r="C9" s="3" t="inlineStr">
        <is>
          <t>Cardiovascular</t>
        </is>
      </c>
      <c r="D9" s="3" t="inlineStr">
        <is>
          <t>MSD</t>
        </is>
      </c>
      <c r="E9" s="3" t="n">
        <v>1.8</v>
      </c>
      <c r="F9" s="3" t="n">
        <v>5.2</v>
      </c>
      <c r="G9" s="3" t="n">
        <v>55</v>
      </c>
      <c r="H9" s="3" t="n">
        <v>20</v>
      </c>
      <c r="I9" s="3" t="inlineStr">
        <is>
          <t>2026-07-15</t>
        </is>
      </c>
      <c r="J9" s="3" t="inlineStr">
        <is>
          <t>Sim</t>
        </is>
      </c>
    </row>
    <row r="10">
      <c r="A10" s="2" t="n">
        <v>9</v>
      </c>
      <c r="B10" s="2" t="inlineStr">
        <is>
          <t>Hidrocortisona Creme</t>
        </is>
      </c>
      <c r="C10" s="2" t="inlineStr">
        <is>
          <t>Dermatológico</t>
        </is>
      </c>
      <c r="D10" s="2" t="inlineStr">
        <is>
          <t>Novartis</t>
        </is>
      </c>
      <c r="E10" s="2" t="n">
        <v>2.1</v>
      </c>
      <c r="F10" s="2" t="n">
        <v>6.5</v>
      </c>
      <c r="G10" s="2" t="n">
        <v>30</v>
      </c>
      <c r="H10" s="2" t="n">
        <v>10</v>
      </c>
      <c r="I10" s="2" t="inlineStr">
        <is>
          <t>2026-05-20</t>
        </is>
      </c>
      <c r="J10" s="2" t="inlineStr">
        <is>
          <t>Não</t>
        </is>
      </c>
    </row>
    <row r="11">
      <c r="A11" s="3" t="n">
        <v>10</v>
      </c>
      <c r="B11" s="3" t="inlineStr">
        <is>
          <t>Salbutamol Inalador</t>
        </is>
      </c>
      <c r="C11" s="3" t="inlineStr">
        <is>
          <t>Respiratório</t>
        </is>
      </c>
      <c r="D11" s="3" t="inlineStr">
        <is>
          <t>Roche</t>
        </is>
      </c>
      <c r="E11" s="3" t="n">
        <v>4.5</v>
      </c>
      <c r="F11" s="3" t="n">
        <v>12.8</v>
      </c>
      <c r="G11" s="3" t="n">
        <v>25</v>
      </c>
      <c r="H11" s="3" t="n">
        <v>10</v>
      </c>
      <c r="I11" s="3" t="inlineStr">
        <is>
          <t>2026-10-01</t>
        </is>
      </c>
      <c r="J11" s="3" t="inlineStr">
        <is>
          <t>Sim</t>
        </is>
      </c>
    </row>
    <row r="12">
      <c r="A12" s="2" t="n">
        <v>11</v>
      </c>
      <c r="B12" s="2" t="inlineStr">
        <is>
          <t>Diclofenac 50mg</t>
        </is>
      </c>
      <c r="C12" s="2" t="inlineStr">
        <is>
          <t>Anti-inflamatório</t>
        </is>
      </c>
      <c r="D12" s="2" t="inlineStr">
        <is>
          <t>Tecnimede</t>
        </is>
      </c>
      <c r="E12" s="2" t="n">
        <v>1.1</v>
      </c>
      <c r="F12" s="2" t="n">
        <v>3.5</v>
      </c>
      <c r="G12" s="2" t="n">
        <v>70</v>
      </c>
      <c r="H12" s="2" t="n">
        <v>20</v>
      </c>
      <c r="I12" s="2" t="inlineStr">
        <is>
          <t>2027-02-14</t>
        </is>
      </c>
      <c r="J12" s="2" t="inlineStr">
        <is>
          <t>Não</t>
        </is>
      </c>
    </row>
    <row r="13">
      <c r="A13" s="3" t="n">
        <v>12</v>
      </c>
      <c r="B13" s="3" t="inlineStr">
        <is>
          <t>Azitromicina 500mg</t>
        </is>
      </c>
      <c r="C13" s="3" t="inlineStr">
        <is>
          <t>Antibiótico</t>
        </is>
      </c>
      <c r="D13" s="3" t="inlineStr">
        <is>
          <t>Alter</t>
        </is>
      </c>
      <c r="E13" s="3" t="n">
        <v>3.8</v>
      </c>
      <c r="F13" s="3" t="n">
        <v>11.2</v>
      </c>
      <c r="G13" s="3" t="n">
        <v>20</v>
      </c>
      <c r="H13" s="3" t="n">
        <v>8</v>
      </c>
      <c r="I13" s="3" t="inlineStr">
        <is>
          <t>2026-04-30</t>
        </is>
      </c>
      <c r="J13" s="3" t="inlineStr">
        <is>
          <t>Sim</t>
        </is>
      </c>
    </row>
    <row r="14">
      <c r="A14" s="2" t="n">
        <v>13</v>
      </c>
      <c r="B14" s="2" t="inlineStr">
        <is>
          <t>Ranitidina 150mg</t>
        </is>
      </c>
      <c r="C14" s="2" t="inlineStr">
        <is>
          <t>Gastrointestinal</t>
        </is>
      </c>
      <c r="D14" s="2" t="inlineStr">
        <is>
          <t>Bluepharma</t>
        </is>
      </c>
      <c r="E14" s="2" t="n">
        <v>1.3</v>
      </c>
      <c r="F14" s="2" t="n">
        <v>4</v>
      </c>
      <c r="G14" s="2" t="n">
        <v>50</v>
      </c>
      <c r="H14" s="2" t="n">
        <v>15</v>
      </c>
      <c r="I14" s="2" t="inlineStr">
        <is>
          <t>2026-12-01</t>
        </is>
      </c>
      <c r="J14" s="2" t="inlineStr">
        <is>
          <t>Não</t>
        </is>
      </c>
    </row>
    <row r="15">
      <c r="A15" s="3" t="n">
        <v>14</v>
      </c>
      <c r="B15" s="3" t="inlineStr">
        <is>
          <t>Cetirizina 10mg</t>
        </is>
      </c>
      <c r="C15" s="3" t="inlineStr">
        <is>
          <t>Antialérgico</t>
        </is>
      </c>
      <c r="D15" s="3" t="inlineStr">
        <is>
          <t>Generis</t>
        </is>
      </c>
      <c r="E15" s="3" t="n">
        <v>0.9</v>
      </c>
      <c r="F15" s="3" t="n">
        <v>2.9</v>
      </c>
      <c r="G15" s="3" t="n">
        <v>110</v>
      </c>
      <c r="H15" s="3" t="n">
        <v>30</v>
      </c>
      <c r="I15" s="3" t="inlineStr">
        <is>
          <t>2027-05-01</t>
        </is>
      </c>
      <c r="J15" s="3" t="inlineStr">
        <is>
          <t>Não</t>
        </is>
      </c>
    </row>
    <row r="16">
      <c r="A16" s="2" t="n">
        <v>15</v>
      </c>
      <c r="B16" s="2" t="inlineStr">
        <is>
          <t>Magnésio 375mg</t>
        </is>
      </c>
      <c r="C16" s="2" t="inlineStr">
        <is>
          <t>Suplemento</t>
        </is>
      </c>
      <c r="D16" s="2" t="inlineStr">
        <is>
          <t>Bayer</t>
        </is>
      </c>
      <c r="E16" s="2" t="n">
        <v>3.5</v>
      </c>
      <c r="F16" s="2" t="n">
        <v>8.9</v>
      </c>
      <c r="G16" s="2" t="n">
        <v>80</v>
      </c>
      <c r="H16" s="2" t="n">
        <v>25</v>
      </c>
      <c r="I16" s="2" t="inlineStr">
        <is>
          <t>2027-06-01</t>
        </is>
      </c>
      <c r="J16" s="2" t="inlineStr">
        <is>
          <t>Não</t>
        </is>
      </c>
    </row>
    <row r="17">
      <c r="A17" s="3" t="n">
        <v>16</v>
      </c>
      <c r="B17" s="3" t="inlineStr">
        <is>
          <t>Colírio Visine</t>
        </is>
      </c>
      <c r="C17" s="3" t="inlineStr">
        <is>
          <t>Oftalmológico</t>
        </is>
      </c>
      <c r="D17" s="3" t="inlineStr">
        <is>
          <t>MSD</t>
        </is>
      </c>
      <c r="E17" s="3" t="n">
        <v>2.2</v>
      </c>
      <c r="F17" s="3" t="n">
        <v>6.8</v>
      </c>
      <c r="G17" s="3" t="n">
        <v>35</v>
      </c>
      <c r="H17" s="3" t="n">
        <v>10</v>
      </c>
      <c r="I17" s="3" t="inlineStr">
        <is>
          <t>2026-08-15</t>
        </is>
      </c>
      <c r="J17" s="3" t="inlineStr">
        <is>
          <t>Não</t>
        </is>
      </c>
    </row>
    <row r="18">
      <c r="A18" s="2" t="n">
        <v>17</v>
      </c>
      <c r="B18" s="2" t="inlineStr">
        <is>
          <t>Fluoxetina 20mg</t>
        </is>
      </c>
      <c r="C18" s="2" t="inlineStr">
        <is>
          <t>Cardiovascular</t>
        </is>
      </c>
      <c r="D18" s="2" t="inlineStr">
        <is>
          <t>Tecnimede</t>
        </is>
      </c>
      <c r="E18" s="2" t="n">
        <v>2.6</v>
      </c>
      <c r="F18" s="2" t="n">
        <v>7.4</v>
      </c>
      <c r="G18" s="2" t="n">
        <v>30</v>
      </c>
      <c r="H18" s="2" t="n">
        <v>10</v>
      </c>
      <c r="I18" s="2" t="inlineStr">
        <is>
          <t>2026-09-01</t>
        </is>
      </c>
      <c r="J18" s="2" t="inlineStr">
        <is>
          <t>Sim</t>
        </is>
      </c>
    </row>
    <row r="19">
      <c r="A19" s="3" t="n">
        <v>18</v>
      </c>
      <c r="B19" s="3" t="inlineStr">
        <is>
          <t>Pantoprazol 40mg</t>
        </is>
      </c>
      <c r="C19" s="3" t="inlineStr">
        <is>
          <t>Gastrointestinal</t>
        </is>
      </c>
      <c r="D19" s="3" t="inlineStr">
        <is>
          <t>Labesfal</t>
        </is>
      </c>
      <c r="E19" s="3" t="n">
        <v>1.7</v>
      </c>
      <c r="F19" s="3" t="n">
        <v>5.1</v>
      </c>
      <c r="G19" s="3" t="n">
        <v>45</v>
      </c>
      <c r="H19" s="3" t="n">
        <v>15</v>
      </c>
      <c r="I19" s="3" t="inlineStr">
        <is>
          <t>2027-01-20</t>
        </is>
      </c>
      <c r="J19" s="3" t="inlineStr">
        <is>
          <t>Sim</t>
        </is>
      </c>
    </row>
    <row r="20">
      <c r="A20" s="2" t="n">
        <v>19</v>
      </c>
      <c r="B20" s="2" t="inlineStr">
        <is>
          <t>Betametasona Creme</t>
        </is>
      </c>
      <c r="C20" s="2" t="inlineStr">
        <is>
          <t>Dermatológico</t>
        </is>
      </c>
      <c r="D20" s="2" t="inlineStr">
        <is>
          <t>Roche</t>
        </is>
      </c>
      <c r="E20" s="2" t="n">
        <v>2.4</v>
      </c>
      <c r="F20" s="2" t="n">
        <v>7.2</v>
      </c>
      <c r="G20" s="2" t="n">
        <v>22</v>
      </c>
      <c r="H20" s="2" t="n">
        <v>8</v>
      </c>
      <c r="I20" s="2" t="inlineStr">
        <is>
          <t>2026-06-30</t>
        </is>
      </c>
      <c r="J20" s="2" t="inlineStr">
        <is>
          <t>Sim</t>
        </is>
      </c>
    </row>
    <row r="21">
      <c r="A21" s="3" t="n">
        <v>20</v>
      </c>
      <c r="B21" s="3" t="inlineStr">
        <is>
          <t>Vitamina D3 2000UI</t>
        </is>
      </c>
      <c r="C21" s="3" t="inlineStr">
        <is>
          <t>Suplemento</t>
        </is>
      </c>
      <c r="D21" s="3" t="inlineStr">
        <is>
          <t>Novartis</t>
        </is>
      </c>
      <c r="E21" s="3" t="n">
        <v>4.1</v>
      </c>
      <c r="F21" s="3" t="n">
        <v>10.5</v>
      </c>
      <c r="G21" s="3" t="n">
        <v>150</v>
      </c>
      <c r="H21" s="3" t="n">
        <v>40</v>
      </c>
      <c r="I21" s="3" t="inlineStr">
        <is>
          <t>2027-08-01</t>
        </is>
      </c>
      <c r="J21" s="3" t="inlineStr">
        <is>
          <t>Não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2" customWidth="1" min="4" max="4"/>
    <col width="12" customWidth="1" min="5" max="5"/>
    <col width="26" customWidth="1" min="6" max="6"/>
    <col width="15" customWidth="1" min="7" max="7"/>
    <col width="8" customWidth="1" min="8" max="8"/>
    <col width="14" customWidth="1" min="9" max="9"/>
  </cols>
  <sheetData>
    <row r="1" ht="22" customHeight="1">
      <c r="A1" s="1" t="inlineStr">
        <is>
          <t>ID</t>
        </is>
      </c>
      <c r="B1" s="1" t="inlineStr">
        <is>
          <t>Nome</t>
        </is>
      </c>
      <c r="C1" s="1" t="inlineStr">
        <is>
          <t>Data_Nascimento</t>
        </is>
      </c>
      <c r="D1" s="1" t="inlineStr">
        <is>
          <t>NIF</t>
        </is>
      </c>
      <c r="E1" s="1" t="inlineStr">
        <is>
          <t>Telefone</t>
        </is>
      </c>
      <c r="F1" s="1" t="inlineStr">
        <is>
          <t>Email</t>
        </is>
      </c>
      <c r="G1" s="1" t="inlineStr">
        <is>
          <t>Cartao_Fidelidade</t>
        </is>
      </c>
      <c r="H1" s="1" t="inlineStr">
        <is>
          <t>Pontos</t>
        </is>
      </c>
      <c r="I1" s="1" t="inlineStr">
        <is>
          <t>Data_Registo</t>
        </is>
      </c>
    </row>
    <row r="2">
      <c r="A2" s="3" t="n">
        <v>1</v>
      </c>
      <c r="B2" s="3" t="inlineStr">
        <is>
          <t>Ana Silva</t>
        </is>
      </c>
      <c r="C2" s="3" t="inlineStr">
        <is>
          <t>1988-09-10</t>
        </is>
      </c>
      <c r="D2" s="3" t="inlineStr">
        <is>
          <t>214126811</t>
        </is>
      </c>
      <c r="E2" s="3" t="inlineStr">
        <is>
          <t>924691788</t>
        </is>
      </c>
      <c r="F2" s="3" t="inlineStr">
        <is>
          <t>ana.silva@email.pt</t>
        </is>
      </c>
      <c r="G2" s="3" t="inlineStr">
        <is>
          <t>FC10001</t>
        </is>
      </c>
      <c r="H2" s="3" t="n">
        <v>1053</v>
      </c>
      <c r="I2" s="3" t="inlineStr">
        <is>
          <t>2018-08-08</t>
        </is>
      </c>
    </row>
    <row r="3">
      <c r="A3" s="2" t="n">
        <v>2</v>
      </c>
      <c r="B3" s="2" t="inlineStr">
        <is>
          <t>João Santos</t>
        </is>
      </c>
      <c r="C3" s="2" t="inlineStr">
        <is>
          <t>1995-09-21</t>
        </is>
      </c>
      <c r="D3" s="2" t="inlineStr">
        <is>
          <t>230688229</t>
        </is>
      </c>
      <c r="E3" s="2" t="inlineStr">
        <is>
          <t>922475545</t>
        </is>
      </c>
      <c r="F3" s="2" t="inlineStr">
        <is>
          <t>joão.santos@email.pt</t>
        </is>
      </c>
      <c r="G3" s="2" t="inlineStr">
        <is>
          <t>FC10002</t>
        </is>
      </c>
      <c r="H3" s="2" t="n">
        <v>1245</v>
      </c>
      <c r="I3" s="2" t="inlineStr">
        <is>
          <t>2019-10-19</t>
        </is>
      </c>
    </row>
    <row r="4">
      <c r="A4" s="3" t="n">
        <v>3</v>
      </c>
      <c r="B4" s="3" t="inlineStr">
        <is>
          <t>Maria Costa</t>
        </is>
      </c>
      <c r="C4" s="3" t="inlineStr">
        <is>
          <t>1999-02-25</t>
        </is>
      </c>
      <c r="D4" s="3" t="inlineStr">
        <is>
          <t>227267840</t>
        </is>
      </c>
      <c r="E4" s="3" t="inlineStr">
        <is>
          <t>932731096</t>
        </is>
      </c>
      <c r="F4" s="3" t="inlineStr">
        <is>
          <t>maria.costa@email.pt</t>
        </is>
      </c>
      <c r="G4" s="3" t="inlineStr">
        <is>
          <t>FC10003</t>
        </is>
      </c>
      <c r="H4" s="3" t="n">
        <v>2300</v>
      </c>
      <c r="I4" s="3" t="inlineStr">
        <is>
          <t>2022-03-18</t>
        </is>
      </c>
    </row>
    <row r="5">
      <c r="A5" s="2" t="n">
        <v>4</v>
      </c>
      <c r="B5" s="2" t="inlineStr">
        <is>
          <t>Pedro Oliveira</t>
        </is>
      </c>
      <c r="C5" s="2" t="inlineStr">
        <is>
          <t>1977-01-20</t>
        </is>
      </c>
      <c r="D5" s="2" t="inlineStr">
        <is>
          <t>235711642</t>
        </is>
      </c>
      <c r="E5" s="2" t="inlineStr">
        <is>
          <t>978973943</t>
        </is>
      </c>
      <c r="F5" s="2" t="inlineStr">
        <is>
          <t>pedro.oliveira@email.pt</t>
        </is>
      </c>
      <c r="G5" s="2" t="inlineStr">
        <is>
          <t>FC10004</t>
        </is>
      </c>
      <c r="H5" s="2" t="n">
        <v>1968</v>
      </c>
      <c r="I5" s="2" t="inlineStr">
        <is>
          <t>2020-05-08</t>
        </is>
      </c>
    </row>
    <row r="6">
      <c r="A6" s="3" t="n">
        <v>5</v>
      </c>
      <c r="B6" s="3" t="inlineStr">
        <is>
          <t>Sofia Ferreira</t>
        </is>
      </c>
      <c r="C6" s="3" t="inlineStr">
        <is>
          <t>2000-04-05</t>
        </is>
      </c>
      <c r="D6" s="3" t="inlineStr">
        <is>
          <t>216805586</t>
        </is>
      </c>
      <c r="E6" s="3" t="inlineStr">
        <is>
          <t>963173289</t>
        </is>
      </c>
      <c r="F6" s="3" t="inlineStr">
        <is>
          <t>sofia.ferreira@email.pt</t>
        </is>
      </c>
      <c r="G6" s="3" t="inlineStr">
        <is>
          <t>FC10005</t>
        </is>
      </c>
      <c r="H6" s="3" t="n">
        <v>2287</v>
      </c>
      <c r="I6" s="3" t="inlineStr">
        <is>
          <t>2021-04-16</t>
        </is>
      </c>
    </row>
    <row r="7">
      <c r="A7" s="2" t="n">
        <v>6</v>
      </c>
      <c r="B7" s="2" t="inlineStr">
        <is>
          <t>Carlos Rodrigues</t>
        </is>
      </c>
      <c r="C7" s="2" t="inlineStr">
        <is>
          <t>1974-10-02</t>
        </is>
      </c>
      <c r="D7" s="2" t="inlineStr">
        <is>
          <t>213365610</t>
        </is>
      </c>
      <c r="E7" s="2" t="inlineStr">
        <is>
          <t>957032890</t>
        </is>
      </c>
      <c r="F7" s="2" t="inlineStr">
        <is>
          <t>carlos.rodrigues@email.pt</t>
        </is>
      </c>
      <c r="G7" s="2" t="inlineStr">
        <is>
          <t>FC10006</t>
        </is>
      </c>
      <c r="H7" s="2" t="n">
        <v>31</v>
      </c>
      <c r="I7" s="2" t="inlineStr">
        <is>
          <t>2023-02-10</t>
        </is>
      </c>
    </row>
    <row r="8">
      <c r="A8" s="3" t="n">
        <v>7</v>
      </c>
      <c r="B8" s="3" t="inlineStr">
        <is>
          <t>Inês Martins</t>
        </is>
      </c>
      <c r="C8" s="3" t="inlineStr">
        <is>
          <t>1999-07-06</t>
        </is>
      </c>
      <c r="D8" s="3" t="inlineStr">
        <is>
          <t>272916337</t>
        </is>
      </c>
      <c r="E8" s="3" t="inlineStr">
        <is>
          <t>946084733</t>
        </is>
      </c>
      <c r="F8" s="3" t="inlineStr">
        <is>
          <t>inês.martins@email.pt</t>
        </is>
      </c>
      <c r="G8" s="3" t="inlineStr">
        <is>
          <t>FC10007</t>
        </is>
      </c>
      <c r="H8" s="3" t="n">
        <v>914</v>
      </c>
      <c r="I8" s="3" t="inlineStr">
        <is>
          <t>2018-04-16</t>
        </is>
      </c>
    </row>
    <row r="9">
      <c r="A9" s="2" t="n">
        <v>8</v>
      </c>
      <c r="B9" s="2" t="inlineStr">
        <is>
          <t>Rui Pereira</t>
        </is>
      </c>
      <c r="C9" s="2" t="inlineStr">
        <is>
          <t>1967-10-03</t>
        </is>
      </c>
      <c r="D9" s="2" t="inlineStr">
        <is>
          <t>289125328</t>
        </is>
      </c>
      <c r="E9" s="2" t="inlineStr">
        <is>
          <t>923379097</t>
        </is>
      </c>
      <c r="F9" s="2" t="inlineStr">
        <is>
          <t>rui.pereira@email.pt</t>
        </is>
      </c>
      <c r="G9" s="2" t="inlineStr">
        <is>
          <t>FC10008</t>
        </is>
      </c>
      <c r="H9" s="2" t="n">
        <v>2358</v>
      </c>
      <c r="I9" s="2" t="inlineStr">
        <is>
          <t>2019-04-23</t>
        </is>
      </c>
    </row>
    <row r="10">
      <c r="A10" s="3" t="n">
        <v>9</v>
      </c>
      <c r="B10" s="3" t="inlineStr">
        <is>
          <t>Catarina Alves</t>
        </is>
      </c>
      <c r="C10" s="3" t="inlineStr">
        <is>
          <t>1966-05-16</t>
        </is>
      </c>
      <c r="D10" s="3" t="inlineStr">
        <is>
          <t>287127474</t>
        </is>
      </c>
      <c r="E10" s="3" t="inlineStr">
        <is>
          <t>977223000</t>
        </is>
      </c>
      <c r="F10" s="3" t="inlineStr">
        <is>
          <t>catarina.alves@email.pt</t>
        </is>
      </c>
      <c r="G10" s="3" t="inlineStr">
        <is>
          <t>FC10009</t>
        </is>
      </c>
      <c r="H10" s="3" t="n">
        <v>2010</v>
      </c>
      <c r="I10" s="3" t="inlineStr">
        <is>
          <t>2023-06-18</t>
        </is>
      </c>
    </row>
    <row r="11">
      <c r="A11" s="2" t="n">
        <v>10</v>
      </c>
      <c r="B11" s="2" t="inlineStr">
        <is>
          <t>Miguel Sousa</t>
        </is>
      </c>
      <c r="C11" s="2" t="inlineStr">
        <is>
          <t>1974-01-18</t>
        </is>
      </c>
      <c r="D11" s="2" t="inlineStr">
        <is>
          <t>290678440</t>
        </is>
      </c>
      <c r="E11" s="2" t="inlineStr">
        <is>
          <t>965756194</t>
        </is>
      </c>
      <c r="F11" s="2" t="inlineStr">
        <is>
          <t>miguel.sousa@email.pt</t>
        </is>
      </c>
      <c r="G11" s="2" t="inlineStr">
        <is>
          <t>FC10010</t>
        </is>
      </c>
      <c r="H11" s="2" t="n">
        <v>685</v>
      </c>
      <c r="I11" s="2" t="inlineStr">
        <is>
          <t>2022-11-11</t>
        </is>
      </c>
    </row>
    <row r="12">
      <c r="A12" s="3" t="n">
        <v>11</v>
      </c>
      <c r="B12" s="3" t="inlineStr">
        <is>
          <t>Teresa Carvalho</t>
        </is>
      </c>
      <c r="C12" s="3" t="inlineStr">
        <is>
          <t>1995-07-26</t>
        </is>
      </c>
      <c r="D12" s="3" t="inlineStr">
        <is>
          <t>297507366</t>
        </is>
      </c>
      <c r="E12" s="3" t="inlineStr">
        <is>
          <t>984010819</t>
        </is>
      </c>
      <c r="F12" s="3" t="inlineStr">
        <is>
          <t>teresa.carvalho@email.pt</t>
        </is>
      </c>
      <c r="G12" s="3" t="inlineStr">
        <is>
          <t>FC10011</t>
        </is>
      </c>
      <c r="H12" s="3" t="n">
        <v>1318</v>
      </c>
      <c r="I12" s="3" t="inlineStr">
        <is>
          <t>2020-01-06</t>
        </is>
      </c>
    </row>
    <row r="13">
      <c r="A13" s="2" t="n">
        <v>12</v>
      </c>
      <c r="B13" s="2" t="inlineStr">
        <is>
          <t>António Lopes</t>
        </is>
      </c>
      <c r="C13" s="2" t="inlineStr">
        <is>
          <t>1956-12-26</t>
        </is>
      </c>
      <c r="D13" s="2" t="inlineStr">
        <is>
          <t>256838691</t>
        </is>
      </c>
      <c r="E13" s="2" t="inlineStr">
        <is>
          <t>955327086</t>
        </is>
      </c>
      <c r="F13" s="2" t="inlineStr">
        <is>
          <t>antónio.lopes@email.pt</t>
        </is>
      </c>
      <c r="G13" s="2" t="inlineStr">
        <is>
          <t>FC10012</t>
        </is>
      </c>
      <c r="H13" s="2" t="n">
        <v>2497</v>
      </c>
      <c r="I13" s="2" t="inlineStr">
        <is>
          <t>2020-02-05</t>
        </is>
      </c>
    </row>
    <row r="14">
      <c r="A14" s="3" t="n">
        <v>13</v>
      </c>
      <c r="B14" s="3" t="inlineStr">
        <is>
          <t>Beatriz Nunes</t>
        </is>
      </c>
      <c r="C14" s="3" t="inlineStr">
        <is>
          <t>1966-03-21</t>
        </is>
      </c>
      <c r="D14" s="3" t="inlineStr">
        <is>
          <t>240824476</t>
        </is>
      </c>
      <c r="E14" s="3" t="inlineStr">
        <is>
          <t>964144961</t>
        </is>
      </c>
      <c r="F14" s="3" t="inlineStr">
        <is>
          <t>beatriz.nunes@email.pt</t>
        </is>
      </c>
      <c r="G14" s="3" t="inlineStr">
        <is>
          <t>FC10013</t>
        </is>
      </c>
      <c r="H14" s="3" t="n">
        <v>1838</v>
      </c>
      <c r="I14" s="3" t="inlineStr">
        <is>
          <t>2022-12-25</t>
        </is>
      </c>
    </row>
    <row r="15">
      <c r="A15" s="2" t="n">
        <v>14</v>
      </c>
      <c r="B15" s="2" t="inlineStr">
        <is>
          <t>Francisco Gomes</t>
        </is>
      </c>
      <c r="C15" s="2" t="inlineStr">
        <is>
          <t>1973-08-18</t>
        </is>
      </c>
      <c r="D15" s="2" t="inlineStr">
        <is>
          <t>286491621</t>
        </is>
      </c>
      <c r="E15" s="2" t="inlineStr">
        <is>
          <t>922275529</t>
        </is>
      </c>
      <c r="F15" s="2" t="inlineStr">
        <is>
          <t>francisco.gomes@email.pt</t>
        </is>
      </c>
      <c r="G15" s="2" t="inlineStr">
        <is>
          <t>FC10014</t>
        </is>
      </c>
      <c r="H15" s="2" t="n">
        <v>62</v>
      </c>
      <c r="I15" s="2" t="inlineStr">
        <is>
          <t>2021-11-28</t>
        </is>
      </c>
    </row>
    <row r="16">
      <c r="A16" s="3" t="n">
        <v>15</v>
      </c>
      <c r="B16" s="3" t="inlineStr">
        <is>
          <t>Margarida Pinto</t>
        </is>
      </c>
      <c r="C16" s="3" t="inlineStr">
        <is>
          <t>1958-07-05</t>
        </is>
      </c>
      <c r="D16" s="3" t="inlineStr">
        <is>
          <t>298859927</t>
        </is>
      </c>
      <c r="E16" s="3" t="inlineStr">
        <is>
          <t>930554262</t>
        </is>
      </c>
      <c r="F16" s="3" t="inlineStr">
        <is>
          <t>margarida.pinto@email.pt</t>
        </is>
      </c>
      <c r="G16" s="3" t="inlineStr">
        <is>
          <t>FC10015</t>
        </is>
      </c>
      <c r="H16" s="3" t="n">
        <v>70</v>
      </c>
      <c r="I16" s="3" t="inlineStr">
        <is>
          <t>2020-05-18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1" customWidth="1" min="4" max="4"/>
    <col width="11" customWidth="1" min="5" max="5"/>
    <col width="14" customWidth="1" min="6" max="6"/>
    <col width="13" customWidth="1" min="7" max="7"/>
    <col width="10" customWidth="1" min="8" max="8"/>
  </cols>
  <sheetData>
    <row r="1" ht="22" customHeight="1">
      <c r="A1" s="1" t="inlineStr">
        <is>
          <t>ID_Venda</t>
        </is>
      </c>
      <c r="B1" s="1" t="inlineStr">
        <is>
          <t>Data</t>
        </is>
      </c>
      <c r="C1" s="1" t="inlineStr">
        <is>
          <t>ID_Cliente</t>
        </is>
      </c>
      <c r="D1" s="1" t="inlineStr">
        <is>
          <t>ID_Produto</t>
        </is>
      </c>
      <c r="E1" s="1" t="inlineStr">
        <is>
          <t>Quantidade</t>
        </is>
      </c>
      <c r="F1" s="1" t="inlineStr">
        <is>
          <t>Preco_Unitario</t>
        </is>
      </c>
      <c r="G1" s="1" t="inlineStr">
        <is>
          <t>Desconto_Pct</t>
        </is>
      </c>
      <c r="H1" s="1" t="inlineStr">
        <is>
          <t>Total</t>
        </is>
      </c>
    </row>
    <row r="2">
      <c r="A2" s="3" t="n">
        <v>1</v>
      </c>
      <c r="B2" s="3" t="inlineStr">
        <is>
          <t>2024-05-21</t>
        </is>
      </c>
      <c r="C2" s="3" t="n">
        <v>2</v>
      </c>
      <c r="D2" s="3" t="n">
        <v>14</v>
      </c>
      <c r="E2" s="3" t="n">
        <v>4</v>
      </c>
      <c r="F2" s="3" t="n">
        <v>2.9</v>
      </c>
      <c r="G2" s="3" t="n">
        <v>10</v>
      </c>
      <c r="H2" s="3" t="n">
        <v>10.44</v>
      </c>
    </row>
    <row r="3">
      <c r="A3" s="2" t="n">
        <v>2</v>
      </c>
      <c r="B3" s="2" t="inlineStr">
        <is>
          <t>2024-07-03</t>
        </is>
      </c>
      <c r="C3" s="2" t="n">
        <v>5</v>
      </c>
      <c r="D3" s="2" t="n">
        <v>7</v>
      </c>
      <c r="E3" s="2" t="n">
        <v>4</v>
      </c>
      <c r="F3" s="2" t="n">
        <v>9.5</v>
      </c>
      <c r="G3" s="2" t="n">
        <v>0</v>
      </c>
      <c r="H3" s="2" t="n">
        <v>38</v>
      </c>
    </row>
    <row r="4">
      <c r="A4" s="3" t="n">
        <v>3</v>
      </c>
      <c r="B4" s="3" t="inlineStr">
        <is>
          <t>2024-07-27</t>
        </is>
      </c>
      <c r="C4" s="3" t="n">
        <v>8</v>
      </c>
      <c r="D4" s="3" t="n">
        <v>16</v>
      </c>
      <c r="E4" s="3" t="n">
        <v>2</v>
      </c>
      <c r="F4" s="3" t="n">
        <v>6.8</v>
      </c>
      <c r="G4" s="3" t="n">
        <v>5</v>
      </c>
      <c r="H4" s="3" t="n">
        <v>12.92</v>
      </c>
    </row>
    <row r="5">
      <c r="A5" s="2" t="n">
        <v>4</v>
      </c>
      <c r="B5" s="2" t="inlineStr">
        <is>
          <t>2024-04-15</t>
        </is>
      </c>
      <c r="C5" s="2" t="n">
        <v>12</v>
      </c>
      <c r="D5" s="2" t="n">
        <v>18</v>
      </c>
      <c r="E5" s="2" t="n">
        <v>3</v>
      </c>
      <c r="F5" s="2" t="n">
        <v>5.1</v>
      </c>
      <c r="G5" s="2" t="n">
        <v>5</v>
      </c>
      <c r="H5" s="2" t="n">
        <v>14.53</v>
      </c>
    </row>
    <row r="6">
      <c r="A6" s="3" t="n">
        <v>5</v>
      </c>
      <c r="B6" s="3" t="inlineStr">
        <is>
          <t>2024-03-05</t>
        </is>
      </c>
      <c r="C6" s="3" t="n">
        <v>14</v>
      </c>
      <c r="D6" s="3" t="n">
        <v>1</v>
      </c>
      <c r="E6" s="3" t="n">
        <v>4</v>
      </c>
      <c r="F6" s="3" t="n">
        <v>2.5</v>
      </c>
      <c r="G6" s="3" t="n">
        <v>0</v>
      </c>
      <c r="H6" s="3" t="n">
        <v>10</v>
      </c>
    </row>
    <row r="7">
      <c r="A7" s="2" t="n">
        <v>6</v>
      </c>
      <c r="B7" s="2" t="inlineStr">
        <is>
          <t>2024-02-04</t>
        </is>
      </c>
      <c r="C7" s="2" t="n">
        <v>2</v>
      </c>
      <c r="D7" s="2" t="n">
        <v>6</v>
      </c>
      <c r="E7" s="2" t="n">
        <v>4</v>
      </c>
      <c r="F7" s="2" t="n">
        <v>6.9</v>
      </c>
      <c r="G7" s="2" t="n">
        <v>0</v>
      </c>
      <c r="H7" s="2" t="n">
        <v>27.6</v>
      </c>
    </row>
    <row r="8">
      <c r="A8" s="3" t="n">
        <v>7</v>
      </c>
      <c r="B8" s="3" t="inlineStr">
        <is>
          <t>2024-01-01</t>
        </is>
      </c>
      <c r="C8" s="3" t="n">
        <v>9</v>
      </c>
      <c r="D8" s="3" t="n">
        <v>6</v>
      </c>
      <c r="E8" s="3" t="n">
        <v>4</v>
      </c>
      <c r="F8" s="3" t="n">
        <v>6.9</v>
      </c>
      <c r="G8" s="3" t="n">
        <v>0</v>
      </c>
      <c r="H8" s="3" t="n">
        <v>27.6</v>
      </c>
    </row>
    <row r="9">
      <c r="A9" s="2" t="n">
        <v>8</v>
      </c>
      <c r="B9" s="2" t="inlineStr">
        <is>
          <t>2024-07-19</t>
        </is>
      </c>
      <c r="C9" s="2" t="n">
        <v>4</v>
      </c>
      <c r="D9" s="2" t="n">
        <v>19</v>
      </c>
      <c r="E9" s="2" t="n">
        <v>1</v>
      </c>
      <c r="F9" s="2" t="n">
        <v>7.2</v>
      </c>
      <c r="G9" s="2" t="n">
        <v>5</v>
      </c>
      <c r="H9" s="2" t="n">
        <v>6.84</v>
      </c>
    </row>
    <row r="10">
      <c r="A10" s="3" t="n">
        <v>9</v>
      </c>
      <c r="B10" s="3" t="inlineStr">
        <is>
          <t>2024-09-14</t>
        </is>
      </c>
      <c r="C10" s="3" t="n">
        <v>11</v>
      </c>
      <c r="D10" s="3" t="n">
        <v>7</v>
      </c>
      <c r="E10" s="3" t="n">
        <v>3</v>
      </c>
      <c r="F10" s="3" t="n">
        <v>9.5</v>
      </c>
      <c r="G10" s="3" t="n">
        <v>10</v>
      </c>
      <c r="H10" s="3" t="n">
        <v>25.65</v>
      </c>
    </row>
    <row r="11">
      <c r="A11" s="2" t="n">
        <v>10</v>
      </c>
      <c r="B11" s="2" t="inlineStr">
        <is>
          <t>2024-12-20</t>
        </is>
      </c>
      <c r="C11" s="2" t="n">
        <v>12</v>
      </c>
      <c r="D11" s="2" t="n">
        <v>8</v>
      </c>
      <c r="E11" s="2" t="n">
        <v>3</v>
      </c>
      <c r="F11" s="2" t="n">
        <v>5.2</v>
      </c>
      <c r="G11" s="2" t="n">
        <v>0</v>
      </c>
      <c r="H11" s="2" t="n">
        <v>15.6</v>
      </c>
    </row>
    <row r="12">
      <c r="A12" s="3" t="n">
        <v>11</v>
      </c>
      <c r="B12" s="3" t="inlineStr">
        <is>
          <t>2024-07-26</t>
        </is>
      </c>
      <c r="C12" s="3" t="n">
        <v>5</v>
      </c>
      <c r="D12" s="3" t="n">
        <v>4</v>
      </c>
      <c r="E12" s="3" t="n">
        <v>3</v>
      </c>
      <c r="F12" s="3" t="n">
        <v>4.2</v>
      </c>
      <c r="G12" s="3" t="n">
        <v>10</v>
      </c>
      <c r="H12" s="3" t="n">
        <v>11.34</v>
      </c>
    </row>
    <row r="13">
      <c r="A13" s="2" t="n">
        <v>12</v>
      </c>
      <c r="B13" s="2" t="inlineStr">
        <is>
          <t>2024-08-08</t>
        </is>
      </c>
      <c r="C13" s="2" t="n">
        <v>5</v>
      </c>
      <c r="D13" s="2" t="n">
        <v>9</v>
      </c>
      <c r="E13" s="2" t="n">
        <v>4</v>
      </c>
      <c r="F13" s="2" t="n">
        <v>6.5</v>
      </c>
      <c r="G13" s="2" t="n">
        <v>0</v>
      </c>
      <c r="H13" s="2" t="n">
        <v>26</v>
      </c>
    </row>
    <row r="14">
      <c r="A14" s="3" t="n">
        <v>13</v>
      </c>
      <c r="B14" s="3" t="inlineStr">
        <is>
          <t>2024-08-16</t>
        </is>
      </c>
      <c r="C14" s="3" t="n">
        <v>12</v>
      </c>
      <c r="D14" s="3" t="n">
        <v>11</v>
      </c>
      <c r="E14" s="3" t="n">
        <v>1</v>
      </c>
      <c r="F14" s="3" t="n">
        <v>3.5</v>
      </c>
      <c r="G14" s="3" t="n">
        <v>10</v>
      </c>
      <c r="H14" s="3" t="n">
        <v>3.15</v>
      </c>
    </row>
    <row r="15">
      <c r="A15" s="2" t="n">
        <v>14</v>
      </c>
      <c r="B15" s="2" t="inlineStr">
        <is>
          <t>2024-07-18</t>
        </is>
      </c>
      <c r="C15" s="2" t="n">
        <v>9</v>
      </c>
      <c r="D15" s="2" t="n">
        <v>1</v>
      </c>
      <c r="E15" s="2" t="n">
        <v>1</v>
      </c>
      <c r="F15" s="2" t="n">
        <v>2.5</v>
      </c>
      <c r="G15" s="2" t="n">
        <v>0</v>
      </c>
      <c r="H15" s="2" t="n">
        <v>2.5</v>
      </c>
    </row>
    <row r="16">
      <c r="A16" s="3" t="n">
        <v>15</v>
      </c>
      <c r="B16" s="3" t="inlineStr">
        <is>
          <t>2024-06-18</t>
        </is>
      </c>
      <c r="C16" s="3" t="n">
        <v>1</v>
      </c>
      <c r="D16" s="3" t="n">
        <v>14</v>
      </c>
      <c r="E16" s="3" t="n">
        <v>4</v>
      </c>
      <c r="F16" s="3" t="n">
        <v>2.9</v>
      </c>
      <c r="G16" s="3" t="n">
        <v>5</v>
      </c>
      <c r="H16" s="3" t="n">
        <v>11.02</v>
      </c>
    </row>
    <row r="17">
      <c r="A17" s="2" t="n">
        <v>16</v>
      </c>
      <c r="B17" s="2" t="inlineStr">
        <is>
          <t>2024-11-16</t>
        </is>
      </c>
      <c r="C17" s="2" t="n">
        <v>5</v>
      </c>
      <c r="D17" s="2" t="n">
        <v>14</v>
      </c>
      <c r="E17" s="2" t="n">
        <v>2</v>
      </c>
      <c r="F17" s="2" t="n">
        <v>2.9</v>
      </c>
      <c r="G17" s="2" t="n">
        <v>10</v>
      </c>
      <c r="H17" s="2" t="n">
        <v>5.22</v>
      </c>
    </row>
    <row r="18">
      <c r="A18" s="3" t="n">
        <v>17</v>
      </c>
      <c r="B18" s="3" t="inlineStr">
        <is>
          <t>2024-05-28</t>
        </is>
      </c>
      <c r="C18" s="3" t="n">
        <v>6</v>
      </c>
      <c r="D18" s="3" t="n">
        <v>6</v>
      </c>
      <c r="E18" s="3" t="n">
        <v>3</v>
      </c>
      <c r="F18" s="3" t="n">
        <v>6.9</v>
      </c>
      <c r="G18" s="3" t="n">
        <v>0</v>
      </c>
      <c r="H18" s="3" t="n">
        <v>20.7</v>
      </c>
    </row>
    <row r="19">
      <c r="A19" s="2" t="n">
        <v>18</v>
      </c>
      <c r="B19" s="2" t="inlineStr">
        <is>
          <t>2024-10-10</t>
        </is>
      </c>
      <c r="C19" s="2" t="n">
        <v>12</v>
      </c>
      <c r="D19" s="2" t="n">
        <v>2</v>
      </c>
      <c r="E19" s="2" t="n">
        <v>4</v>
      </c>
      <c r="F19" s="2" t="n">
        <v>3.8</v>
      </c>
      <c r="G19" s="2" t="n">
        <v>0</v>
      </c>
      <c r="H19" s="2" t="n">
        <v>15.2</v>
      </c>
    </row>
    <row r="20">
      <c r="A20" s="3" t="n">
        <v>19</v>
      </c>
      <c r="B20" s="3" t="inlineStr">
        <is>
          <t>2024-11-11</t>
        </is>
      </c>
      <c r="C20" s="3" t="n">
        <v>1</v>
      </c>
      <c r="D20" s="3" t="n">
        <v>20</v>
      </c>
      <c r="E20" s="3" t="n">
        <v>3</v>
      </c>
      <c r="F20" s="3" t="n">
        <v>10.5</v>
      </c>
      <c r="G20" s="3" t="n">
        <v>0</v>
      </c>
      <c r="H20" s="3" t="n">
        <v>31.5</v>
      </c>
    </row>
    <row r="21">
      <c r="A21" s="2" t="n">
        <v>20</v>
      </c>
      <c r="B21" s="2" t="inlineStr">
        <is>
          <t>2024-07-27</t>
        </is>
      </c>
      <c r="C21" s="2" t="n">
        <v>2</v>
      </c>
      <c r="D21" s="2" t="n">
        <v>17</v>
      </c>
      <c r="E21" s="2" t="n">
        <v>1</v>
      </c>
      <c r="F21" s="2" t="n">
        <v>7.4</v>
      </c>
      <c r="G21" s="2" t="n">
        <v>0</v>
      </c>
      <c r="H21" s="2" t="n">
        <v>7.4</v>
      </c>
    </row>
    <row r="22">
      <c r="A22" s="3" t="n">
        <v>21</v>
      </c>
      <c r="B22" s="3" t="inlineStr">
        <is>
          <t>2024-10-05</t>
        </is>
      </c>
      <c r="C22" s="3" t="n">
        <v>11</v>
      </c>
      <c r="D22" s="3" t="n">
        <v>1</v>
      </c>
      <c r="E22" s="3" t="n">
        <v>4</v>
      </c>
      <c r="F22" s="3" t="n">
        <v>2.5</v>
      </c>
      <c r="G22" s="3" t="n">
        <v>0</v>
      </c>
      <c r="H22" s="3" t="n">
        <v>10</v>
      </c>
    </row>
    <row r="23">
      <c r="A23" s="2" t="n">
        <v>22</v>
      </c>
      <c r="B23" s="2" t="inlineStr">
        <is>
          <t>2024-03-27</t>
        </is>
      </c>
      <c r="C23" s="2" t="n">
        <v>1</v>
      </c>
      <c r="D23" s="2" t="n">
        <v>1</v>
      </c>
      <c r="E23" s="2" t="n">
        <v>1</v>
      </c>
      <c r="F23" s="2" t="n">
        <v>2.5</v>
      </c>
      <c r="G23" s="2" t="n">
        <v>5</v>
      </c>
      <c r="H23" s="2" t="n">
        <v>2.38</v>
      </c>
    </row>
    <row r="24">
      <c r="A24" s="3" t="n">
        <v>23</v>
      </c>
      <c r="B24" s="3" t="inlineStr">
        <is>
          <t>2024-01-23</t>
        </is>
      </c>
      <c r="C24" s="3" t="n">
        <v>2</v>
      </c>
      <c r="D24" s="3" t="n">
        <v>20</v>
      </c>
      <c r="E24" s="3" t="n">
        <v>2</v>
      </c>
      <c r="F24" s="3" t="n">
        <v>10.5</v>
      </c>
      <c r="G24" s="3" t="n">
        <v>0</v>
      </c>
      <c r="H24" s="3" t="n">
        <v>21</v>
      </c>
    </row>
    <row r="25">
      <c r="A25" s="2" t="n">
        <v>24</v>
      </c>
      <c r="B25" s="2" t="inlineStr">
        <is>
          <t>2024-08-21</t>
        </is>
      </c>
      <c r="C25" s="2" t="n">
        <v>9</v>
      </c>
      <c r="D25" s="2" t="n">
        <v>13</v>
      </c>
      <c r="E25" s="2" t="n">
        <v>1</v>
      </c>
      <c r="F25" s="2" t="n">
        <v>4</v>
      </c>
      <c r="G25" s="2" t="n">
        <v>5</v>
      </c>
      <c r="H25" s="2" t="n">
        <v>3.8</v>
      </c>
    </row>
    <row r="26">
      <c r="A26" s="3" t="n">
        <v>25</v>
      </c>
      <c r="B26" s="3" t="inlineStr">
        <is>
          <t>2024-05-27</t>
        </is>
      </c>
      <c r="C26" s="3" t="n">
        <v>10</v>
      </c>
      <c r="D26" s="3" t="n">
        <v>3</v>
      </c>
      <c r="E26" s="3" t="n">
        <v>2</v>
      </c>
      <c r="F26" s="3" t="n">
        <v>7.9</v>
      </c>
      <c r="G26" s="3" t="n">
        <v>5</v>
      </c>
      <c r="H26" s="3" t="n">
        <v>15.01</v>
      </c>
    </row>
    <row r="27">
      <c r="A27" s="2" t="n">
        <v>26</v>
      </c>
      <c r="B27" s="2" t="inlineStr">
        <is>
          <t>2024-07-22</t>
        </is>
      </c>
      <c r="C27" s="2" t="n">
        <v>10</v>
      </c>
      <c r="D27" s="2" t="n">
        <v>9</v>
      </c>
      <c r="E27" s="2" t="n">
        <v>2</v>
      </c>
      <c r="F27" s="2" t="n">
        <v>6.5</v>
      </c>
      <c r="G27" s="2" t="n">
        <v>0</v>
      </c>
      <c r="H27" s="2" t="n">
        <v>13</v>
      </c>
    </row>
    <row r="28">
      <c r="A28" s="3" t="n">
        <v>27</v>
      </c>
      <c r="B28" s="3" t="inlineStr">
        <is>
          <t>2024-10-10</t>
        </is>
      </c>
      <c r="C28" s="3" t="n">
        <v>10</v>
      </c>
      <c r="D28" s="3" t="n">
        <v>20</v>
      </c>
      <c r="E28" s="3" t="n">
        <v>4</v>
      </c>
      <c r="F28" s="3" t="n">
        <v>10.5</v>
      </c>
      <c r="G28" s="3" t="n">
        <v>0</v>
      </c>
      <c r="H28" s="3" t="n">
        <v>42</v>
      </c>
    </row>
    <row r="29">
      <c r="A29" s="2" t="n">
        <v>28</v>
      </c>
      <c r="B29" s="2" t="inlineStr">
        <is>
          <t>2024-01-02</t>
        </is>
      </c>
      <c r="C29" s="2" t="n">
        <v>14</v>
      </c>
      <c r="D29" s="2" t="n">
        <v>18</v>
      </c>
      <c r="E29" s="2" t="n">
        <v>4</v>
      </c>
      <c r="F29" s="2" t="n">
        <v>5.1</v>
      </c>
      <c r="G29" s="2" t="n">
        <v>0</v>
      </c>
      <c r="H29" s="2" t="n">
        <v>20.4</v>
      </c>
    </row>
    <row r="30">
      <c r="A30" s="3" t="n">
        <v>29</v>
      </c>
      <c r="B30" s="3" t="inlineStr">
        <is>
          <t>2024-09-18</t>
        </is>
      </c>
      <c r="C30" s="3" t="n">
        <v>12</v>
      </c>
      <c r="D30" s="3" t="n">
        <v>19</v>
      </c>
      <c r="E30" s="3" t="n">
        <v>3</v>
      </c>
      <c r="F30" s="3" t="n">
        <v>7.2</v>
      </c>
      <c r="G30" s="3" t="n">
        <v>0</v>
      </c>
      <c r="H30" s="3" t="n">
        <v>21.6</v>
      </c>
    </row>
    <row r="31">
      <c r="A31" s="2" t="n">
        <v>30</v>
      </c>
      <c r="B31" s="2" t="inlineStr">
        <is>
          <t>2024-08-29</t>
        </is>
      </c>
      <c r="C31" s="2" t="n">
        <v>12</v>
      </c>
      <c r="D31" s="2" t="n">
        <v>8</v>
      </c>
      <c r="E31" s="2" t="n">
        <v>4</v>
      </c>
      <c r="F31" s="2" t="n">
        <v>5.2</v>
      </c>
      <c r="G31" s="2" t="n">
        <v>0</v>
      </c>
      <c r="H31" s="2" t="n">
        <v>20.8</v>
      </c>
    </row>
    <row r="32">
      <c r="A32" s="3" t="n">
        <v>31</v>
      </c>
      <c r="B32" s="3" t="inlineStr">
        <is>
          <t>2024-03-13</t>
        </is>
      </c>
      <c r="C32" s="3" t="n">
        <v>2</v>
      </c>
      <c r="D32" s="3" t="n">
        <v>12</v>
      </c>
      <c r="E32" s="3" t="n">
        <v>1</v>
      </c>
      <c r="F32" s="3" t="n">
        <v>11.2</v>
      </c>
      <c r="G32" s="3" t="n">
        <v>0</v>
      </c>
      <c r="H32" s="3" t="n">
        <v>11.2</v>
      </c>
    </row>
    <row r="33">
      <c r="A33" s="2" t="n">
        <v>32</v>
      </c>
      <c r="B33" s="2" t="inlineStr">
        <is>
          <t>2024-02-05</t>
        </is>
      </c>
      <c r="C33" s="2" t="n">
        <v>14</v>
      </c>
      <c r="D33" s="2" t="n">
        <v>2</v>
      </c>
      <c r="E33" s="2" t="n">
        <v>3</v>
      </c>
      <c r="F33" s="2" t="n">
        <v>3.8</v>
      </c>
      <c r="G33" s="2" t="n">
        <v>0</v>
      </c>
      <c r="H33" s="2" t="n">
        <v>11.4</v>
      </c>
    </row>
    <row r="34">
      <c r="A34" s="3" t="n">
        <v>33</v>
      </c>
      <c r="B34" s="3" t="inlineStr">
        <is>
          <t>2024-07-21</t>
        </is>
      </c>
      <c r="C34" s="3" t="n">
        <v>9</v>
      </c>
      <c r="D34" s="3" t="n">
        <v>10</v>
      </c>
      <c r="E34" s="3" t="n">
        <v>3</v>
      </c>
      <c r="F34" s="3" t="n">
        <v>12.8</v>
      </c>
      <c r="G34" s="3" t="n">
        <v>10</v>
      </c>
      <c r="H34" s="3" t="n">
        <v>34.56</v>
      </c>
    </row>
    <row r="35">
      <c r="A35" s="2" t="n">
        <v>34</v>
      </c>
      <c r="B35" s="2" t="inlineStr">
        <is>
          <t>2024-01-15</t>
        </is>
      </c>
      <c r="C35" s="2" t="n">
        <v>2</v>
      </c>
      <c r="D35" s="2" t="n">
        <v>19</v>
      </c>
      <c r="E35" s="2" t="n">
        <v>3</v>
      </c>
      <c r="F35" s="2" t="n">
        <v>7.2</v>
      </c>
      <c r="G35" s="2" t="n">
        <v>0</v>
      </c>
      <c r="H35" s="2" t="n">
        <v>21.6</v>
      </c>
    </row>
    <row r="36">
      <c r="A36" s="3" t="n">
        <v>35</v>
      </c>
      <c r="B36" s="3" t="inlineStr">
        <is>
          <t>2024-01-28</t>
        </is>
      </c>
      <c r="C36" s="3" t="n">
        <v>5</v>
      </c>
      <c r="D36" s="3" t="n">
        <v>5</v>
      </c>
      <c r="E36" s="3" t="n">
        <v>2</v>
      </c>
      <c r="F36" s="3" t="n">
        <v>3.1</v>
      </c>
      <c r="G36" s="3" t="n">
        <v>0</v>
      </c>
      <c r="H36" s="3" t="n">
        <v>6.2</v>
      </c>
    </row>
    <row r="37">
      <c r="A37" s="2" t="n">
        <v>36</v>
      </c>
      <c r="B37" s="2" t="inlineStr">
        <is>
          <t>2024-04-09</t>
        </is>
      </c>
      <c r="C37" s="2" t="n">
        <v>9</v>
      </c>
      <c r="D37" s="2" t="n">
        <v>15</v>
      </c>
      <c r="E37" s="2" t="n">
        <v>1</v>
      </c>
      <c r="F37" s="2" t="n">
        <v>8.9</v>
      </c>
      <c r="G37" s="2" t="n">
        <v>5</v>
      </c>
      <c r="H37" s="2" t="n">
        <v>8.460000000000001</v>
      </c>
    </row>
    <row r="38">
      <c r="A38" s="3" t="n">
        <v>37</v>
      </c>
      <c r="B38" s="3" t="inlineStr">
        <is>
          <t>2024-11-07</t>
        </is>
      </c>
      <c r="C38" s="3" t="n">
        <v>3</v>
      </c>
      <c r="D38" s="3" t="n">
        <v>18</v>
      </c>
      <c r="E38" s="3" t="n">
        <v>1</v>
      </c>
      <c r="F38" s="3" t="n">
        <v>5.1</v>
      </c>
      <c r="G38" s="3" t="n">
        <v>5</v>
      </c>
      <c r="H38" s="3" t="n">
        <v>4.84</v>
      </c>
    </row>
    <row r="39">
      <c r="A39" s="2" t="n">
        <v>38</v>
      </c>
      <c r="B39" s="2" t="inlineStr">
        <is>
          <t>2024-04-06</t>
        </is>
      </c>
      <c r="C39" s="2" t="n">
        <v>3</v>
      </c>
      <c r="D39" s="2" t="n">
        <v>8</v>
      </c>
      <c r="E39" s="2" t="n">
        <v>2</v>
      </c>
      <c r="F39" s="2" t="n">
        <v>5.2</v>
      </c>
      <c r="G39" s="2" t="n">
        <v>0</v>
      </c>
      <c r="H39" s="2" t="n">
        <v>10.4</v>
      </c>
    </row>
    <row r="40">
      <c r="A40" s="3" t="n">
        <v>39</v>
      </c>
      <c r="B40" s="3" t="inlineStr">
        <is>
          <t>2024-10-09</t>
        </is>
      </c>
      <c r="C40" s="3" t="n">
        <v>9</v>
      </c>
      <c r="D40" s="3" t="n">
        <v>11</v>
      </c>
      <c r="E40" s="3" t="n">
        <v>1</v>
      </c>
      <c r="F40" s="3" t="n">
        <v>3.5</v>
      </c>
      <c r="G40" s="3" t="n">
        <v>0</v>
      </c>
      <c r="H40" s="3" t="n">
        <v>3.5</v>
      </c>
    </row>
    <row r="41">
      <c r="A41" s="2" t="n">
        <v>40</v>
      </c>
      <c r="B41" s="2" t="inlineStr">
        <is>
          <t>2024-08-11</t>
        </is>
      </c>
      <c r="C41" s="2" t="n">
        <v>4</v>
      </c>
      <c r="D41" s="2" t="n">
        <v>12</v>
      </c>
      <c r="E41" s="2" t="n">
        <v>1</v>
      </c>
      <c r="F41" s="2" t="n">
        <v>11.2</v>
      </c>
      <c r="G41" s="2" t="n">
        <v>5</v>
      </c>
      <c r="H41" s="2" t="n">
        <v>10.64</v>
      </c>
    </row>
    <row r="42">
      <c r="A42" s="3" t="n">
        <v>41</v>
      </c>
      <c r="B42" s="3" t="inlineStr">
        <is>
          <t>2024-09-20</t>
        </is>
      </c>
      <c r="C42" s="3" t="n">
        <v>8</v>
      </c>
      <c r="D42" s="3" t="n">
        <v>19</v>
      </c>
      <c r="E42" s="3" t="n">
        <v>2</v>
      </c>
      <c r="F42" s="3" t="n">
        <v>7.2</v>
      </c>
      <c r="G42" s="3" t="n">
        <v>0</v>
      </c>
      <c r="H42" s="3" t="n">
        <v>14.4</v>
      </c>
    </row>
    <row r="43">
      <c r="A43" s="2" t="n">
        <v>42</v>
      </c>
      <c r="B43" s="2" t="inlineStr">
        <is>
          <t>2024-08-09</t>
        </is>
      </c>
      <c r="C43" s="2" t="n">
        <v>5</v>
      </c>
      <c r="D43" s="2" t="n">
        <v>9</v>
      </c>
      <c r="E43" s="2" t="n">
        <v>1</v>
      </c>
      <c r="F43" s="2" t="n">
        <v>6.5</v>
      </c>
      <c r="G43" s="2" t="n">
        <v>0</v>
      </c>
      <c r="H43" s="2" t="n">
        <v>6.5</v>
      </c>
    </row>
    <row r="44">
      <c r="A44" s="3" t="n">
        <v>43</v>
      </c>
      <c r="B44" s="3" t="inlineStr">
        <is>
          <t>2024-04-20</t>
        </is>
      </c>
      <c r="C44" s="3" t="n">
        <v>3</v>
      </c>
      <c r="D44" s="3" t="n">
        <v>13</v>
      </c>
      <c r="E44" s="3" t="n">
        <v>4</v>
      </c>
      <c r="F44" s="3" t="n">
        <v>4</v>
      </c>
      <c r="G44" s="3" t="n">
        <v>0</v>
      </c>
      <c r="H44" s="3" t="n">
        <v>16</v>
      </c>
    </row>
    <row r="45">
      <c r="A45" s="2" t="n">
        <v>44</v>
      </c>
      <c r="B45" s="2" t="inlineStr">
        <is>
          <t>2024-03-17</t>
        </is>
      </c>
      <c r="C45" s="2" t="n">
        <v>3</v>
      </c>
      <c r="D45" s="2" t="n">
        <v>20</v>
      </c>
      <c r="E45" s="2" t="n">
        <v>2</v>
      </c>
      <c r="F45" s="2" t="n">
        <v>10.5</v>
      </c>
      <c r="G45" s="2" t="n">
        <v>10</v>
      </c>
      <c r="H45" s="2" t="n">
        <v>18.9</v>
      </c>
    </row>
    <row r="46">
      <c r="A46" s="3" t="n">
        <v>45</v>
      </c>
      <c r="B46" s="3" t="inlineStr">
        <is>
          <t>2024-01-29</t>
        </is>
      </c>
      <c r="C46" s="3" t="n">
        <v>8</v>
      </c>
      <c r="D46" s="3" t="n">
        <v>18</v>
      </c>
      <c r="E46" s="3" t="n">
        <v>4</v>
      </c>
      <c r="F46" s="3" t="n">
        <v>5.1</v>
      </c>
      <c r="G46" s="3" t="n">
        <v>10</v>
      </c>
      <c r="H46" s="3" t="n">
        <v>18.36</v>
      </c>
    </row>
    <row r="47">
      <c r="A47" s="2" t="n">
        <v>46</v>
      </c>
      <c r="B47" s="2" t="inlineStr">
        <is>
          <t>2024-10-12</t>
        </is>
      </c>
      <c r="C47" s="2" t="n">
        <v>13</v>
      </c>
      <c r="D47" s="2" t="n">
        <v>3</v>
      </c>
      <c r="E47" s="2" t="n">
        <v>1</v>
      </c>
      <c r="F47" s="2" t="n">
        <v>7.9</v>
      </c>
      <c r="G47" s="2" t="n">
        <v>10</v>
      </c>
      <c r="H47" s="2" t="n">
        <v>7.11</v>
      </c>
    </row>
    <row r="48">
      <c r="A48" s="3" t="n">
        <v>47</v>
      </c>
      <c r="B48" s="3" t="inlineStr">
        <is>
          <t>2024-02-17</t>
        </is>
      </c>
      <c r="C48" s="3" t="n">
        <v>3</v>
      </c>
      <c r="D48" s="3" t="n">
        <v>20</v>
      </c>
      <c r="E48" s="3" t="n">
        <v>4</v>
      </c>
      <c r="F48" s="3" t="n">
        <v>10.5</v>
      </c>
      <c r="G48" s="3" t="n">
        <v>0</v>
      </c>
      <c r="H48" s="3" t="n">
        <v>42</v>
      </c>
    </row>
    <row r="49">
      <c r="A49" s="2" t="n">
        <v>48</v>
      </c>
      <c r="B49" s="2" t="inlineStr">
        <is>
          <t>2024-06-09</t>
        </is>
      </c>
      <c r="C49" s="2" t="n">
        <v>15</v>
      </c>
      <c r="D49" s="2" t="n">
        <v>7</v>
      </c>
      <c r="E49" s="2" t="n">
        <v>2</v>
      </c>
      <c r="F49" s="2" t="n">
        <v>9.5</v>
      </c>
      <c r="G49" s="2" t="n">
        <v>10</v>
      </c>
      <c r="H49" s="2" t="n">
        <v>17.1</v>
      </c>
    </row>
    <row r="50">
      <c r="A50" s="3" t="n">
        <v>49</v>
      </c>
      <c r="B50" s="3" t="inlineStr">
        <is>
          <t>2024-08-03</t>
        </is>
      </c>
      <c r="C50" s="3" t="n">
        <v>3</v>
      </c>
      <c r="D50" s="3" t="n">
        <v>6</v>
      </c>
      <c r="E50" s="3" t="n">
        <v>4</v>
      </c>
      <c r="F50" s="3" t="n">
        <v>6.9</v>
      </c>
      <c r="G50" s="3" t="n">
        <v>0</v>
      </c>
      <c r="H50" s="3" t="n">
        <v>27.6</v>
      </c>
    </row>
    <row r="51">
      <c r="A51" s="2" t="n">
        <v>50</v>
      </c>
      <c r="B51" s="2" t="inlineStr">
        <is>
          <t>2024-09-26</t>
        </is>
      </c>
      <c r="C51" s="2" t="n">
        <v>11</v>
      </c>
      <c r="D51" s="2" t="n">
        <v>10</v>
      </c>
      <c r="E51" s="2" t="n">
        <v>1</v>
      </c>
      <c r="F51" s="2" t="n">
        <v>12.8</v>
      </c>
      <c r="G51" s="2" t="n">
        <v>0</v>
      </c>
      <c r="H51" s="2" t="n">
        <v>12.8</v>
      </c>
    </row>
    <row r="52">
      <c r="A52" s="3" t="n">
        <v>51</v>
      </c>
      <c r="B52" s="3" t="inlineStr">
        <is>
          <t>2024-06-22</t>
        </is>
      </c>
      <c r="C52" s="3" t="n">
        <v>3</v>
      </c>
      <c r="D52" s="3" t="n">
        <v>8</v>
      </c>
      <c r="E52" s="3" t="n">
        <v>2</v>
      </c>
      <c r="F52" s="3" t="n">
        <v>5.2</v>
      </c>
      <c r="G52" s="3" t="n">
        <v>0</v>
      </c>
      <c r="H52" s="3" t="n">
        <v>10.4</v>
      </c>
    </row>
    <row r="53">
      <c r="A53" s="2" t="n">
        <v>52</v>
      </c>
      <c r="B53" s="2" t="inlineStr">
        <is>
          <t>2024-11-13</t>
        </is>
      </c>
      <c r="C53" s="2" t="n">
        <v>2</v>
      </c>
      <c r="D53" s="2" t="n">
        <v>12</v>
      </c>
      <c r="E53" s="2" t="n">
        <v>2</v>
      </c>
      <c r="F53" s="2" t="n">
        <v>11.2</v>
      </c>
      <c r="G53" s="2" t="n">
        <v>0</v>
      </c>
      <c r="H53" s="2" t="n">
        <v>22.4</v>
      </c>
    </row>
    <row r="54">
      <c r="A54" s="3" t="n">
        <v>53</v>
      </c>
      <c r="B54" s="3" t="inlineStr">
        <is>
          <t>2024-02-23</t>
        </is>
      </c>
      <c r="C54" s="3" t="n">
        <v>6</v>
      </c>
      <c r="D54" s="3" t="n">
        <v>18</v>
      </c>
      <c r="E54" s="3" t="n">
        <v>3</v>
      </c>
      <c r="F54" s="3" t="n">
        <v>5.1</v>
      </c>
      <c r="G54" s="3" t="n">
        <v>0</v>
      </c>
      <c r="H54" s="3" t="n">
        <v>15.3</v>
      </c>
    </row>
    <row r="55">
      <c r="A55" s="2" t="n">
        <v>54</v>
      </c>
      <c r="B55" s="2" t="inlineStr">
        <is>
          <t>2024-03-02</t>
        </is>
      </c>
      <c r="C55" s="2" t="n">
        <v>1</v>
      </c>
      <c r="D55" s="2" t="n">
        <v>20</v>
      </c>
      <c r="E55" s="2" t="n">
        <v>2</v>
      </c>
      <c r="F55" s="2" t="n">
        <v>10.5</v>
      </c>
      <c r="G55" s="2" t="n">
        <v>5</v>
      </c>
      <c r="H55" s="2" t="n">
        <v>19.95</v>
      </c>
    </row>
    <row r="56">
      <c r="A56" s="3" t="n">
        <v>55</v>
      </c>
      <c r="B56" s="3" t="inlineStr">
        <is>
          <t>2024-07-25</t>
        </is>
      </c>
      <c r="C56" s="3" t="n">
        <v>6</v>
      </c>
      <c r="D56" s="3" t="n">
        <v>10</v>
      </c>
      <c r="E56" s="3" t="n">
        <v>3</v>
      </c>
      <c r="F56" s="3" t="n">
        <v>12.8</v>
      </c>
      <c r="G56" s="3" t="n">
        <v>5</v>
      </c>
      <c r="H56" s="3" t="n">
        <v>36.48</v>
      </c>
    </row>
    <row r="57">
      <c r="A57" s="2" t="n">
        <v>56</v>
      </c>
      <c r="B57" s="2" t="inlineStr">
        <is>
          <t>2024-01-16</t>
        </is>
      </c>
      <c r="C57" s="2" t="n">
        <v>12</v>
      </c>
      <c r="D57" s="2" t="n">
        <v>15</v>
      </c>
      <c r="E57" s="2" t="n">
        <v>2</v>
      </c>
      <c r="F57" s="2" t="n">
        <v>8.9</v>
      </c>
      <c r="G57" s="2" t="n">
        <v>5</v>
      </c>
      <c r="H57" s="2" t="n">
        <v>16.91</v>
      </c>
    </row>
    <row r="58">
      <c r="A58" s="3" t="n">
        <v>57</v>
      </c>
      <c r="B58" s="3" t="inlineStr">
        <is>
          <t>2024-05-06</t>
        </is>
      </c>
      <c r="C58" s="3" t="n">
        <v>13</v>
      </c>
      <c r="D58" s="3" t="n">
        <v>4</v>
      </c>
      <c r="E58" s="3" t="n">
        <v>1</v>
      </c>
      <c r="F58" s="3" t="n">
        <v>4.2</v>
      </c>
      <c r="G58" s="3" t="n">
        <v>5</v>
      </c>
      <c r="H58" s="3" t="n">
        <v>3.99</v>
      </c>
    </row>
    <row r="59">
      <c r="A59" s="2" t="n">
        <v>58</v>
      </c>
      <c r="B59" s="2" t="inlineStr">
        <is>
          <t>2024-10-14</t>
        </is>
      </c>
      <c r="C59" s="2" t="n">
        <v>14</v>
      </c>
      <c r="D59" s="2" t="n">
        <v>4</v>
      </c>
      <c r="E59" s="2" t="n">
        <v>4</v>
      </c>
      <c r="F59" s="2" t="n">
        <v>4.2</v>
      </c>
      <c r="G59" s="2" t="n">
        <v>0</v>
      </c>
      <c r="H59" s="2" t="n">
        <v>16.8</v>
      </c>
    </row>
    <row r="60">
      <c r="A60" s="3" t="n">
        <v>59</v>
      </c>
      <c r="B60" s="3" t="inlineStr">
        <is>
          <t>2024-11-29</t>
        </is>
      </c>
      <c r="C60" s="3" t="n">
        <v>14</v>
      </c>
      <c r="D60" s="3" t="n">
        <v>17</v>
      </c>
      <c r="E60" s="3" t="n">
        <v>2</v>
      </c>
      <c r="F60" s="3" t="n">
        <v>7.4</v>
      </c>
      <c r="G60" s="3" t="n">
        <v>0</v>
      </c>
      <c r="H60" s="3" t="n">
        <v>14.8</v>
      </c>
    </row>
    <row r="61">
      <c r="A61" s="2" t="n">
        <v>60</v>
      </c>
      <c r="B61" s="2" t="inlineStr">
        <is>
          <t>2024-03-18</t>
        </is>
      </c>
      <c r="C61" s="2" t="n">
        <v>8</v>
      </c>
      <c r="D61" s="2" t="n">
        <v>5</v>
      </c>
      <c r="E61" s="2" t="n">
        <v>3</v>
      </c>
      <c r="F61" s="2" t="n">
        <v>3.1</v>
      </c>
      <c r="G61" s="2" t="n">
        <v>5</v>
      </c>
      <c r="H61" s="2" t="n">
        <v>8.84</v>
      </c>
    </row>
    <row r="62">
      <c r="A62" s="3" t="n">
        <v>61</v>
      </c>
      <c r="B62" s="3" t="inlineStr">
        <is>
          <t>2024-03-15</t>
        </is>
      </c>
      <c r="C62" s="3" t="n">
        <v>12</v>
      </c>
      <c r="D62" s="3" t="n">
        <v>9</v>
      </c>
      <c r="E62" s="3" t="n">
        <v>4</v>
      </c>
      <c r="F62" s="3" t="n">
        <v>6.5</v>
      </c>
      <c r="G62" s="3" t="n">
        <v>5</v>
      </c>
      <c r="H62" s="3" t="n">
        <v>24.7</v>
      </c>
    </row>
    <row r="63">
      <c r="A63" s="2" t="n">
        <v>62</v>
      </c>
      <c r="B63" s="2" t="inlineStr">
        <is>
          <t>2024-10-19</t>
        </is>
      </c>
      <c r="C63" s="2" t="n">
        <v>5</v>
      </c>
      <c r="D63" s="2" t="n">
        <v>6</v>
      </c>
      <c r="E63" s="2" t="n">
        <v>2</v>
      </c>
      <c r="F63" s="2" t="n">
        <v>6.9</v>
      </c>
      <c r="G63" s="2" t="n">
        <v>0</v>
      </c>
      <c r="H63" s="2" t="n">
        <v>13.8</v>
      </c>
    </row>
    <row r="64">
      <c r="A64" s="3" t="n">
        <v>63</v>
      </c>
      <c r="B64" s="3" t="inlineStr">
        <is>
          <t>2024-09-01</t>
        </is>
      </c>
      <c r="C64" s="3" t="n">
        <v>10</v>
      </c>
      <c r="D64" s="3" t="n">
        <v>10</v>
      </c>
      <c r="E64" s="3" t="n">
        <v>2</v>
      </c>
      <c r="F64" s="3" t="n">
        <v>12.8</v>
      </c>
      <c r="G64" s="3" t="n">
        <v>5</v>
      </c>
      <c r="H64" s="3" t="n">
        <v>24.32</v>
      </c>
    </row>
    <row r="65">
      <c r="A65" s="2" t="n">
        <v>64</v>
      </c>
      <c r="B65" s="2" t="inlineStr">
        <is>
          <t>2024-09-30</t>
        </is>
      </c>
      <c r="C65" s="2" t="n">
        <v>10</v>
      </c>
      <c r="D65" s="2" t="n">
        <v>16</v>
      </c>
      <c r="E65" s="2" t="n">
        <v>3</v>
      </c>
      <c r="F65" s="2" t="n">
        <v>6.8</v>
      </c>
      <c r="G65" s="2" t="n">
        <v>0</v>
      </c>
      <c r="H65" s="2" t="n">
        <v>20.4</v>
      </c>
    </row>
    <row r="66">
      <c r="A66" s="3" t="n">
        <v>65</v>
      </c>
      <c r="B66" s="3" t="inlineStr">
        <is>
          <t>2024-11-04</t>
        </is>
      </c>
      <c r="C66" s="3" t="n">
        <v>7</v>
      </c>
      <c r="D66" s="3" t="n">
        <v>8</v>
      </c>
      <c r="E66" s="3" t="n">
        <v>2</v>
      </c>
      <c r="F66" s="3" t="n">
        <v>5.2</v>
      </c>
      <c r="G66" s="3" t="n">
        <v>0</v>
      </c>
      <c r="H66" s="3" t="n">
        <v>10.4</v>
      </c>
    </row>
    <row r="67">
      <c r="A67" s="2" t="n">
        <v>66</v>
      </c>
      <c r="B67" s="2" t="inlineStr">
        <is>
          <t>2024-04-24</t>
        </is>
      </c>
      <c r="C67" s="2" t="n">
        <v>11</v>
      </c>
      <c r="D67" s="2" t="n">
        <v>5</v>
      </c>
      <c r="E67" s="2" t="n">
        <v>3</v>
      </c>
      <c r="F67" s="2" t="n">
        <v>3.1</v>
      </c>
      <c r="G67" s="2" t="n">
        <v>0</v>
      </c>
      <c r="H67" s="2" t="n">
        <v>9.300000000000001</v>
      </c>
    </row>
    <row r="68">
      <c r="A68" s="3" t="n">
        <v>67</v>
      </c>
      <c r="B68" s="3" t="inlineStr">
        <is>
          <t>2024-09-18</t>
        </is>
      </c>
      <c r="C68" s="3" t="n">
        <v>2</v>
      </c>
      <c r="D68" s="3" t="n">
        <v>2</v>
      </c>
      <c r="E68" s="3" t="n">
        <v>4</v>
      </c>
      <c r="F68" s="3" t="n">
        <v>3.8</v>
      </c>
      <c r="G68" s="3" t="n">
        <v>10</v>
      </c>
      <c r="H68" s="3" t="n">
        <v>13.68</v>
      </c>
    </row>
    <row r="69">
      <c r="A69" s="2" t="n">
        <v>68</v>
      </c>
      <c r="B69" s="2" t="inlineStr">
        <is>
          <t>2024-07-27</t>
        </is>
      </c>
      <c r="C69" s="2" t="n">
        <v>4</v>
      </c>
      <c r="D69" s="2" t="n">
        <v>1</v>
      </c>
      <c r="E69" s="2" t="n">
        <v>2</v>
      </c>
      <c r="F69" s="2" t="n">
        <v>2.5</v>
      </c>
      <c r="G69" s="2" t="n">
        <v>10</v>
      </c>
      <c r="H69" s="2" t="n">
        <v>4.5</v>
      </c>
    </row>
    <row r="70">
      <c r="A70" s="3" t="n">
        <v>69</v>
      </c>
      <c r="B70" s="3" t="inlineStr">
        <is>
          <t>2024-05-18</t>
        </is>
      </c>
      <c r="C70" s="3" t="n">
        <v>7</v>
      </c>
      <c r="D70" s="3" t="n">
        <v>14</v>
      </c>
      <c r="E70" s="3" t="n">
        <v>1</v>
      </c>
      <c r="F70" s="3" t="n">
        <v>2.9</v>
      </c>
      <c r="G70" s="3" t="n">
        <v>0</v>
      </c>
      <c r="H70" s="3" t="n">
        <v>2.9</v>
      </c>
    </row>
    <row r="71">
      <c r="A71" s="2" t="n">
        <v>70</v>
      </c>
      <c r="B71" s="2" t="inlineStr">
        <is>
          <t>2024-09-29</t>
        </is>
      </c>
      <c r="C71" s="2" t="n">
        <v>12</v>
      </c>
      <c r="D71" s="2" t="n">
        <v>17</v>
      </c>
      <c r="E71" s="2" t="n">
        <v>2</v>
      </c>
      <c r="F71" s="2" t="n">
        <v>7.4</v>
      </c>
      <c r="G71" s="2" t="n">
        <v>5</v>
      </c>
      <c r="H71" s="2" t="n">
        <v>14.06</v>
      </c>
    </row>
    <row r="72">
      <c r="A72" s="3" t="n">
        <v>71</v>
      </c>
      <c r="B72" s="3" t="inlineStr">
        <is>
          <t>2024-11-06</t>
        </is>
      </c>
      <c r="C72" s="3" t="n">
        <v>10</v>
      </c>
      <c r="D72" s="3" t="n">
        <v>13</v>
      </c>
      <c r="E72" s="3" t="n">
        <v>4</v>
      </c>
      <c r="F72" s="3" t="n">
        <v>4</v>
      </c>
      <c r="G72" s="3" t="n">
        <v>0</v>
      </c>
      <c r="H72" s="3" t="n">
        <v>16</v>
      </c>
    </row>
    <row r="73">
      <c r="A73" s="2" t="n">
        <v>72</v>
      </c>
      <c r="B73" s="2" t="inlineStr">
        <is>
          <t>2024-11-14</t>
        </is>
      </c>
      <c r="C73" s="2" t="n">
        <v>14</v>
      </c>
      <c r="D73" s="2" t="n">
        <v>11</v>
      </c>
      <c r="E73" s="2" t="n">
        <v>3</v>
      </c>
      <c r="F73" s="2" t="n">
        <v>3.5</v>
      </c>
      <c r="G73" s="2" t="n">
        <v>10</v>
      </c>
      <c r="H73" s="2" t="n">
        <v>9.449999999999999</v>
      </c>
    </row>
    <row r="74">
      <c r="A74" s="3" t="n">
        <v>73</v>
      </c>
      <c r="B74" s="3" t="inlineStr">
        <is>
          <t>2024-11-26</t>
        </is>
      </c>
      <c r="C74" s="3" t="n">
        <v>1</v>
      </c>
      <c r="D74" s="3" t="n">
        <v>12</v>
      </c>
      <c r="E74" s="3" t="n">
        <v>1</v>
      </c>
      <c r="F74" s="3" t="n">
        <v>11.2</v>
      </c>
      <c r="G74" s="3" t="n">
        <v>0</v>
      </c>
      <c r="H74" s="3" t="n">
        <v>11.2</v>
      </c>
    </row>
    <row r="75">
      <c r="A75" s="2" t="n">
        <v>74</v>
      </c>
      <c r="B75" s="2" t="inlineStr">
        <is>
          <t>2024-12-03</t>
        </is>
      </c>
      <c r="C75" s="2" t="n">
        <v>11</v>
      </c>
      <c r="D75" s="2" t="n">
        <v>7</v>
      </c>
      <c r="E75" s="2" t="n">
        <v>1</v>
      </c>
      <c r="F75" s="2" t="n">
        <v>9.5</v>
      </c>
      <c r="G75" s="2" t="n">
        <v>5</v>
      </c>
      <c r="H75" s="2" t="n">
        <v>9.029999999999999</v>
      </c>
    </row>
    <row r="76">
      <c r="A76" s="3" t="n">
        <v>75</v>
      </c>
      <c r="B76" s="3" t="inlineStr">
        <is>
          <t>2024-08-05</t>
        </is>
      </c>
      <c r="C76" s="3" t="n">
        <v>10</v>
      </c>
      <c r="D76" s="3" t="n">
        <v>19</v>
      </c>
      <c r="E76" s="3" t="n">
        <v>2</v>
      </c>
      <c r="F76" s="3" t="n">
        <v>7.2</v>
      </c>
      <c r="G76" s="3" t="n">
        <v>10</v>
      </c>
      <c r="H76" s="3" t="n">
        <v>12.96</v>
      </c>
    </row>
    <row r="77">
      <c r="A77" s="2" t="n">
        <v>76</v>
      </c>
      <c r="B77" s="2" t="inlineStr">
        <is>
          <t>2024-11-10</t>
        </is>
      </c>
      <c r="C77" s="2" t="n">
        <v>7</v>
      </c>
      <c r="D77" s="2" t="n">
        <v>4</v>
      </c>
      <c r="E77" s="2" t="n">
        <v>4</v>
      </c>
      <c r="F77" s="2" t="n">
        <v>4.2</v>
      </c>
      <c r="G77" s="2" t="n">
        <v>0</v>
      </c>
      <c r="H77" s="2" t="n">
        <v>16.8</v>
      </c>
    </row>
    <row r="78">
      <c r="A78" s="3" t="n">
        <v>77</v>
      </c>
      <c r="B78" s="3" t="inlineStr">
        <is>
          <t>2024-08-09</t>
        </is>
      </c>
      <c r="C78" s="3" t="n">
        <v>2</v>
      </c>
      <c r="D78" s="3" t="n">
        <v>14</v>
      </c>
      <c r="E78" s="3" t="n">
        <v>2</v>
      </c>
      <c r="F78" s="3" t="n">
        <v>2.9</v>
      </c>
      <c r="G78" s="3" t="n">
        <v>0</v>
      </c>
      <c r="H78" s="3" t="n">
        <v>5.8</v>
      </c>
    </row>
    <row r="79">
      <c r="A79" s="2" t="n">
        <v>78</v>
      </c>
      <c r="B79" s="2" t="inlineStr">
        <is>
          <t>2024-02-05</t>
        </is>
      </c>
      <c r="C79" s="2" t="n">
        <v>14</v>
      </c>
      <c r="D79" s="2" t="n">
        <v>2</v>
      </c>
      <c r="E79" s="2" t="n">
        <v>1</v>
      </c>
      <c r="F79" s="2" t="n">
        <v>3.8</v>
      </c>
      <c r="G79" s="2" t="n">
        <v>5</v>
      </c>
      <c r="H79" s="2" t="n">
        <v>3.61</v>
      </c>
    </row>
    <row r="80">
      <c r="A80" s="3" t="n">
        <v>79</v>
      </c>
      <c r="B80" s="3" t="inlineStr">
        <is>
          <t>2024-11-20</t>
        </is>
      </c>
      <c r="C80" s="3" t="n">
        <v>12</v>
      </c>
      <c r="D80" s="3" t="n">
        <v>2</v>
      </c>
      <c r="E80" s="3" t="n">
        <v>1</v>
      </c>
      <c r="F80" s="3" t="n">
        <v>3.8</v>
      </c>
      <c r="G80" s="3" t="n">
        <v>10</v>
      </c>
      <c r="H80" s="3" t="n">
        <v>3.42</v>
      </c>
    </row>
    <row r="81">
      <c r="A81" s="2" t="n">
        <v>80</v>
      </c>
      <c r="B81" s="2" t="inlineStr">
        <is>
          <t>2024-02-02</t>
        </is>
      </c>
      <c r="C81" s="2" t="n">
        <v>4</v>
      </c>
      <c r="D81" s="2" t="n">
        <v>17</v>
      </c>
      <c r="E81" s="2" t="n">
        <v>2</v>
      </c>
      <c r="F81" s="2" t="n">
        <v>7.4</v>
      </c>
      <c r="G81" s="2" t="n">
        <v>0</v>
      </c>
      <c r="H81" s="2" t="n">
        <v>14.8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4" customWidth="1" min="4" max="4"/>
    <col width="26" customWidth="1" min="5" max="5"/>
    <col width="12" customWidth="1" min="6" max="6"/>
    <col width="19" customWidth="1" min="7" max="7"/>
    <col width="18" customWidth="1" min="8" max="8"/>
  </cols>
  <sheetData>
    <row r="1" ht="22" customHeight="1">
      <c r="A1" s="1" t="inlineStr">
        <is>
          <t>ID</t>
        </is>
      </c>
      <c r="B1" s="1" t="inlineStr">
        <is>
          <t>Nome</t>
        </is>
      </c>
      <c r="C1" s="1" t="inlineStr">
        <is>
          <t>NIF</t>
        </is>
      </c>
      <c r="D1" s="1" t="inlineStr">
        <is>
          <t>Contacto</t>
        </is>
      </c>
      <c r="E1" s="1" t="inlineStr">
        <is>
          <t>Email</t>
        </is>
      </c>
      <c r="F1" s="1" t="inlineStr">
        <is>
          <t>Morada</t>
        </is>
      </c>
      <c r="G1" s="1" t="inlineStr">
        <is>
          <t>Prazo_Entrega_Dias</t>
        </is>
      </c>
      <c r="H1" s="1" t="inlineStr">
        <is>
          <t>Condicoes_Pagamento</t>
        </is>
      </c>
    </row>
    <row r="2">
      <c r="A2" s="2" t="n">
        <v>1</v>
      </c>
      <c r="B2" s="2" t="inlineStr">
        <is>
          <t>OCP Portugal</t>
        </is>
      </c>
      <c r="C2" s="2" t="inlineStr">
        <is>
          <t>500123456</t>
        </is>
      </c>
      <c r="D2" s="2" t="inlineStr">
        <is>
          <t>213456789</t>
        </is>
      </c>
      <c r="E2" s="2" t="inlineStr">
        <is>
          <t>encomendas@ocp.pt</t>
        </is>
      </c>
      <c r="F2" s="2" t="inlineStr">
        <is>
          <t>Lisboa</t>
        </is>
      </c>
      <c r="G2" s="2" t="n">
        <v>1</v>
      </c>
      <c r="H2" s="2" t="inlineStr">
        <is>
          <t>30 dias</t>
        </is>
      </c>
    </row>
    <row r="3">
      <c r="A3" s="3" t="n">
        <v>2</v>
      </c>
      <c r="B3" s="3" t="inlineStr">
        <is>
          <t>Alliance Healthcare</t>
        </is>
      </c>
      <c r="C3" s="3" t="inlineStr">
        <is>
          <t>500234567</t>
        </is>
      </c>
      <c r="D3" s="3" t="inlineStr">
        <is>
          <t>214567890</t>
        </is>
      </c>
      <c r="E3" s="3" t="inlineStr">
        <is>
          <t>pedidos@alliance.pt</t>
        </is>
      </c>
      <c r="F3" s="3" t="inlineStr">
        <is>
          <t>Porto</t>
        </is>
      </c>
      <c r="G3" s="3" t="n">
        <v>2</v>
      </c>
      <c r="H3" s="3" t="inlineStr">
        <is>
          <t>30 dias</t>
        </is>
      </c>
    </row>
    <row r="4">
      <c r="A4" s="2" t="n">
        <v>3</v>
      </c>
      <c r="B4" s="2" t="inlineStr">
        <is>
          <t>Plural</t>
        </is>
      </c>
      <c r="C4" s="2" t="inlineStr">
        <is>
          <t>500345678</t>
        </is>
      </c>
      <c r="D4" s="2" t="inlineStr">
        <is>
          <t>215678901</t>
        </is>
      </c>
      <c r="E4" s="2" t="inlineStr">
        <is>
          <t>comercial@plural.pt</t>
        </is>
      </c>
      <c r="F4" s="2" t="inlineStr">
        <is>
          <t>Coimbra</t>
        </is>
      </c>
      <c r="G4" s="2" t="n">
        <v>1</v>
      </c>
      <c r="H4" s="2" t="inlineStr">
        <is>
          <t>15 dias</t>
        </is>
      </c>
    </row>
    <row r="5">
      <c r="A5" s="3" t="n">
        <v>4</v>
      </c>
      <c r="B5" s="3" t="inlineStr">
        <is>
          <t>Bayer Portugal</t>
        </is>
      </c>
      <c r="C5" s="3" t="inlineStr">
        <is>
          <t>500456789</t>
        </is>
      </c>
      <c r="D5" s="3" t="inlineStr">
        <is>
          <t>216789012</t>
        </is>
      </c>
      <c r="E5" s="3" t="inlineStr">
        <is>
          <t>farma@bayer.pt</t>
        </is>
      </c>
      <c r="F5" s="3" t="inlineStr">
        <is>
          <t>Lisboa</t>
        </is>
      </c>
      <c r="G5" s="3" t="n">
        <v>3</v>
      </c>
      <c r="H5" s="3" t="inlineStr">
        <is>
          <t>60 dias</t>
        </is>
      </c>
    </row>
    <row r="6">
      <c r="A6" s="2" t="n">
        <v>5</v>
      </c>
      <c r="B6" s="2" t="inlineStr">
        <is>
          <t>Novartis Portugal</t>
        </is>
      </c>
      <c r="C6" s="2" t="inlineStr">
        <is>
          <t>500567890</t>
        </is>
      </c>
      <c r="D6" s="2" t="inlineStr">
        <is>
          <t>217890123</t>
        </is>
      </c>
      <c r="E6" s="2" t="inlineStr">
        <is>
          <t>orders@novartis.pt</t>
        </is>
      </c>
      <c r="F6" s="2" t="inlineStr">
        <is>
          <t>Lisboa</t>
        </is>
      </c>
      <c r="G6" s="2" t="n">
        <v>3</v>
      </c>
      <c r="H6" s="2" t="inlineStr">
        <is>
          <t>60 dias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</cols>
  <sheetData>
    <row r="1">
      <c r="A1" s="4" t="inlineStr">
        <is>
          <t>RESUMO DA FARMÁCIA</t>
        </is>
      </c>
    </row>
    <row r="3">
      <c r="A3" s="1" t="inlineStr">
        <is>
          <t>Métrica</t>
        </is>
      </c>
      <c r="B3" s="1" t="inlineStr">
        <is>
          <t>Valor</t>
        </is>
      </c>
      <c r="C3" s="1" t="inlineStr">
        <is>
          <t>Notas</t>
        </is>
      </c>
    </row>
    <row r="4">
      <c r="A4" s="5" t="inlineStr">
        <is>
          <t>Total de Produtos</t>
        </is>
      </c>
      <c r="B4" s="2">
        <f>COUNTA(Produtos!B2:B1000)-1</f>
        <v/>
      </c>
      <c r="C4" s="2" t="inlineStr">
        <is>
          <t>Produtos ativos</t>
        </is>
      </c>
    </row>
    <row r="5">
      <c r="A5" s="6" t="inlineStr">
        <is>
          <t>Total de Clientes</t>
        </is>
      </c>
      <c r="B5" s="3">
        <f>COUNTA(Clientes!B2:B1000)-1</f>
        <v/>
      </c>
      <c r="C5" s="3" t="inlineStr">
        <is>
          <t>Clientes registados</t>
        </is>
      </c>
    </row>
    <row r="6">
      <c r="A6" s="5" t="inlineStr">
        <is>
          <t>Total de Vendas</t>
        </is>
      </c>
      <c r="B6" s="2">
        <f>COUNTA(Vendas!A2:A1000)-1</f>
        <v/>
      </c>
      <c r="C6" s="2" t="inlineStr">
        <is>
          <t>Transações 2024</t>
        </is>
      </c>
    </row>
    <row r="7">
      <c r="A7" s="6" t="inlineStr">
        <is>
          <t>Receita Total</t>
        </is>
      </c>
      <c r="B7" s="3">
        <f>SUM(Vendas!H2:H1000)</f>
        <v/>
      </c>
      <c r="C7" s="3" t="inlineStr">
        <is>
          <t>Euros</t>
        </is>
      </c>
    </row>
    <row r="8">
      <c r="A8" s="5" t="inlineStr">
        <is>
          <t>Ticket Médio</t>
        </is>
      </c>
      <c r="B8" s="2">
        <f>IFERROR(SUM(Vendas!H2:H1000)/COUNTA(Vendas!A2:A1000),0)</f>
        <v/>
      </c>
      <c r="C8" s="2" t="inlineStr">
        <is>
          <t>Por venda</t>
        </is>
      </c>
    </row>
    <row r="9">
      <c r="A9" s="6" t="inlineStr">
        <is>
          <t>Produtos em Stock Baixo</t>
        </is>
      </c>
      <c r="B9" s="3">
        <f>COUNTIF(Produtos!G2:G21,"&lt;"&amp;Produtos!H2)</f>
        <v/>
      </c>
      <c r="C9" s="3" t="inlineStr">
        <is>
          <t>Abaixo do mínimo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2026-06-23T21:37:56Z</dcterms:created>
  <dcterms:modified xmlns:dcterms="http://purl.org/dc/terms/" xmlns:xsi="http://www.w3.org/2001/XMLSchema-instance" xsi:type="dcterms:W3CDTF">2026-06-23T21:37:56Z</dcterms:modified>
</cp:coreProperties>
</file>